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2c0782261d464b" /></Relationships>
</file>

<file path=xl/workbook.xml><?xml version="1.0" encoding="utf-8"?>
<x:workbook xmlns:x="http://schemas.openxmlformats.org/spreadsheetml/2006/main">
  <x:sheets>
    <x:sheet xmlns:r="http://schemas.openxmlformats.org/officeDocument/2006/relationships" name="Overview" sheetId="1" r:id="R4710721b4c8944c3"/>
    <x:sheet xmlns:r="http://schemas.openxmlformats.org/officeDocument/2006/relationships" name="MPS" sheetId="2" r:id="R27461e507e0944e1"/>
    <x:sheet xmlns:r="http://schemas.openxmlformats.org/officeDocument/2006/relationships" name="Capacity" sheetId="3" r:id="R3b2f8df4efe34ccd"/>
    <x:sheet xmlns:r="http://schemas.openxmlformats.org/officeDocument/2006/relationships" name="Distribution" sheetId="4" r:id="R4a86b3cb30df46da"/>
    <x:sheet xmlns:r="http://schemas.openxmlformats.org/officeDocument/2006/relationships" name="Inputs" sheetId="5" r:id="Rad6735f9e4dd4c40"/>
    <x:sheet xmlns:r="http://schemas.openxmlformats.org/officeDocument/2006/relationships" name="Demand" sheetId="6" r:id="R9be40d6971eb4833"/>
    <x:sheet xmlns:r="http://schemas.openxmlformats.org/officeDocument/2006/relationships" name="Guide" sheetId="7" r:id="Rb22a99837c154cd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mmm yyyy"/>
    <x:numFmt numFmtId="201" formatCode="#,##0;[Red](#,##0);–"/>
    <x:numFmt numFmtId="202" formatCode="0.0"/>
    <x:numFmt numFmtId="203" formatCode="0.0%"/>
    <x:numFmt numFmtId="204" formatCode="#,##0"/>
    <x:numFmt numFmtId="205" formatCode="€#,##0"/>
  </x:numFmts>
  <x:fonts count="7">
    <x:font>
      <x:sz val="11"/>
      <x:name val="Carlito"/>
    </x:font>
    <x:font>
      <x:b/>
      <x:sz val="20"/>
      <x:color rgb="FFFFFFFF"/>
      <x:name val="Calibri"/>
    </x:font>
    <x:font>
      <x:sz val="11"/>
      <x:color rgb="FF445960"/>
      <x:name val="Calibri"/>
    </x:font>
    <x:font>
      <x:b/>
      <x:sz val="11"/>
      <x:color rgb="FFFFFFFF"/>
      <x:name val="Calibri"/>
    </x:font>
    <x:font>
      <x:sz val="11"/>
      <x:name val="Calibri"/>
    </x:font>
    <x:font>
      <x:sz val="11"/>
      <x:color rgb="FF1761AE"/>
      <x:name val="Calibri"/>
    </x:font>
    <x:font>
      <x:b/>
      <x:sz val="11"/>
      <x:name val="Calibri"/>
    </x:font>
  </x:fonts>
  <x:fills count="4">
    <x:fill>
      <x:patternFill patternType="none"/>
    </x:fill>
    <x:fill>
      <x:patternFill patternType="gray125"/>
    </x:fill>
    <x:fill>
      <x:patternFill patternType="solid">
        <x:fgColor rgb="FF122F3A"/>
      </x:patternFill>
    </x:fill>
    <x:fill>
      <x:patternFill patternType="solid">
        <x:fgColor rgb="FF156F70"/>
      </x:patternFill>
    </x:fill>
  </x:fills>
  <x:borders count="1">
    <x:border>
      <x:left/>
      <x:right/>
      <x:top/>
      <x:bottom/>
      <x:diagonal/>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204" fontId="4" fillId="0" borderId="0" xfId="0" applyNumberFormat="1" applyFont="1" applyFill="1" applyBorder="1" applyAlignment="1">
      <x:alignment vertical="center"/>
    </x:xf>
    <x:xf numFmtId="205"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dxfs count="3">
    <x:dxf>
      <x:font>
        <x:b/>
        <x:color rgb="FFA02622"/>
      </x:font>
      <x:fill>
        <x:patternFill patternType="solid">
          <x:bgColor rgb="FFFBE3DE"/>
        </x:patternFill>
      </x:fill>
    </x:dxf>
    <x:dxf>
      <x:font>
        <x:b/>
        <x:color rgb="FFA02622"/>
      </x:font>
      <x:fill>
        <x:patternFill patternType="solid">
          <x:bgColor rgb="FFFBE3DE"/>
        </x:patternFill>
      </x:fill>
    </x:dxf>
    <x:dxf>
      <x:font>
        <x:b/>
        <x:color rgb="FFA02622"/>
      </x:font>
      <x:fill>
        <x:patternFill patternType="solid">
          <x:bgColor rgb="FFFBE3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efab7e75db4b74" /><Relationship Type="http://schemas.openxmlformats.org/officeDocument/2006/relationships/theme" Target="/xl/theme/theme1.xml" Id="R0fccb379211247f4" /><Relationship Type="http://schemas.openxmlformats.org/officeDocument/2006/relationships/sharedStrings" Target="/xl/sharedStrings.xml" Id="R4112ce00f9564e7c" /><Relationship Type="http://schemas.openxmlformats.org/officeDocument/2006/relationships/worksheet" Target="/xl/worksheets/sheet1.xml" Id="R4710721b4c8944c3" /><Relationship Type="http://schemas.openxmlformats.org/officeDocument/2006/relationships/worksheet" Target="/xl/worksheets/sheet2.xml" Id="R27461e507e0944e1" /><Relationship Type="http://schemas.openxmlformats.org/officeDocument/2006/relationships/worksheet" Target="/xl/worksheets/sheet3.xml" Id="R3b2f8df4efe34ccd" /><Relationship Type="http://schemas.openxmlformats.org/officeDocument/2006/relationships/worksheet" Target="/xl/worksheets/sheet4.xml" Id="R4a86b3cb30df46da" /><Relationship Type="http://schemas.openxmlformats.org/officeDocument/2006/relationships/worksheet" Target="/xl/worksheets/sheet5.xml" Id="Rad6735f9e4dd4c40" /><Relationship Type="http://schemas.openxmlformats.org/officeDocument/2006/relationships/worksheet" Target="/xl/worksheets/sheet6.xml" Id="R9be40d6971eb4833" /><Relationship Type="http://schemas.openxmlformats.org/officeDocument/2006/relationships/worksheet" Target="/xl/worksheets/sheet7.xml" Id="Rb22a99837c154cdb" /></Relationships>
</file>

<file path=xl/drawings/_rels/drawing1.xml.rels>&#65279;<?xml version="1.0" encoding="utf-8"?><Relationships xmlns="http://schemas.openxmlformats.org/package/2006/relationships"><Relationship Type="http://schemas.openxmlformats.org/officeDocument/2006/relationships/chart" Target="/xl/drawings/charts/chart1.xml" Id="R898d8b0ef5f6464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Demand and production</a:t>
            </a:r>
          </a:p>
        </c:rich>
      </c:tx>
      <c:overlay val="0"/>
    </c:title>
    <c:plotArea>
      <c:lineChart>
        <c:grouping val="standard"/>
        <c:varyColors val="0"/>
        <c:ser>
          <c:idx val="0"/>
          <c:order val="0"/>
          <c:tx>
            <c:v>Demand cases</c:v>
          </c:tx>
          <c:marker>
            <c:symbol val="none"/>
          </c:marker>
          <c:cat>
            <c:strRef>
              <c:f>'Overview'!$J$7:$J$18</c:f>
              <c:strCache>
                <c:ptCount val="0"/>
              </c:strCache>
            </c:strRef>
          </c:cat>
          <c:val>
            <c:numRef>
              <c:f>'Overview'!$K$7:$K$18</c:f>
              <c:numCache>
                <c:formatCode>General</c:formatCode>
                <c:ptCount val="0"/>
              </c:numCache>
            </c:numRef>
          </c:val>
          <c:smooth val="0"/>
        </c:ser>
        <c:ser>
          <c:idx val="1"/>
          <c:order val="1"/>
          <c:tx>
            <c:v>Production cases</c:v>
          </c:tx>
          <c:marker>
            <c:symbol val="none"/>
          </c:marker>
          <c:cat>
            <c:strRef>
              <c:f>'Overview'!$J$7:$J$18</c:f>
              <c:strCache>
                <c:ptCount val="0"/>
              </c:strCache>
            </c:strRef>
          </c:cat>
          <c:val>
            <c:numRef>
              <c:f>'Overview'!$L$7:$L$18</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8</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8d8b0ef5f6464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9ed39aadf414ff2" /></Relationships>
</file>

<file path=xl/worksheets/sheet1.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4" customHeight="1">
      <x:c r="A1" s="2" t="str">
        <x:v>Integrated planning template</x:v>
      </x:c>
      <x:c r="B1" s="2"/>
      <x:c r="C1" s="2"/>
      <x:c r="D1" s="2"/>
      <x:c r="E1" s="2"/>
      <x:c r="F1" s="2"/>
      <x:c r="G1" s="2"/>
      <x:c r="H1" s="2"/>
    </x:row>
    <x:row r="2" ht="24" customHeight="1">
      <x:c r="A2" s="2"/>
      <x:c r="B2" s="2"/>
      <x:c r="C2" s="2"/>
      <x:c r="D2" s="2"/>
      <x:c r="E2" s="2"/>
      <x:c r="F2" s="2"/>
      <x:c r="G2" s="2"/>
      <x:c r="H2" s="2"/>
    </x:row>
    <x:row r="3" ht="22" customHeight="1">
      <x:c r="A3" s="4" t="str">
        <x:v>Felipe Bart | Public sample edition | Monthly planning across demand, stock, production, distribution and line capacity. All business data is fictional.</x:v>
      </x:c>
      <x:c r="B3" s="4"/>
      <x:c r="C3" s="4"/>
      <x:c r="D3" s="4"/>
      <x:c r="E3" s="4"/>
      <x:c r="F3" s="4"/>
      <x:c r="G3" s="4"/>
      <x:c r="H3" s="4"/>
    </x:row>
    <x:row r="4" ht="22" customHeight="1">
      <x:c r="A4" s="4"/>
      <x:c r="B4" s="4"/>
      <x:c r="C4" s="4"/>
      <x:c r="D4" s="4"/>
      <x:c r="E4" s="4"/>
      <x:c r="F4" s="4"/>
      <x:c r="G4" s="4"/>
      <x:c r="H4" s="4"/>
    </x:row>
    <x:row r="6" ht="36" customHeight="1">
      <x:c r="A6" s="7" t="str">
        <x:v>Month</x:v>
      </x:c>
      <x:c r="B6" s="7" t="str">
        <x:v>Demand cases</x:v>
      </x:c>
      <x:c r="C6" s="7" t="str">
        <x:v>Production cases</x:v>
      </x:c>
      <x:c r="D6" s="7" t="str">
        <x:v>Closing stock</x:v>
      </x:c>
      <x:c r="E6" s="7" t="str">
        <x:v>Stock value</x:v>
      </x:c>
      <x:c r="F6" s="7" t="str">
        <x:v>Line A load</x:v>
      </x:c>
      <x:c r="G6" s="7" t="str">
        <x:v>Line B load</x:v>
      </x:c>
      <x:c r="H6" s="7" t="str">
        <x:v>Stock exceptions</x:v>
      </x:c>
      <x:c r="J6" t="str">
        <x:v>Month</x:v>
      </x:c>
      <x:c r="K6" t="str">
        <x:v>Demand cases</x:v>
      </x:c>
      <x:c r="L6" t="str">
        <x:v>Production cases</x:v>
      </x:c>
    </x:row>
    <x:row r="7" ht="25" customHeight="1">
      <x:c r="A7" s="11" t="n">
        <x:f>Demand!A7</x:f>
        <x:v>46388</x:v>
      </x:c>
      <x:c r="B7" s="17" t="n">
        <x:f>SUM(MPS!E7:E14)</x:f>
        <x:v>78000</x:v>
      </x:c>
      <x:c r="C7" s="17" t="n">
        <x:f>SUM(MPS!J7:J14)</x:f>
        <x:v>81432</x:v>
      </x:c>
      <x:c r="D7" s="17" t="n">
        <x:f>SUM(MPS!K7:K14)</x:f>
        <x:v>37832</x:v>
      </x:c>
      <x:c r="E7" s="18" t="n">
        <x:f>MPS!K7*Inputs!F7+MPS!K8*Inputs!F7+MPS!K9*Inputs!F8+MPS!K10*Inputs!F8+MPS!K11*Inputs!F9+MPS!K12*Inputs!F9+MPS!K13*Inputs!F10+MPS!K14*Inputs!F10</x:f>
        <x:v>385526</x:v>
      </x:c>
      <x:c r="F7" s="16" t="n">
        <x:f>Capacity!I7</x:f>
        <x:v>0.8595045454545455</x:v>
      </x:c>
      <x:c r="G7" s="16" t="n">
        <x:f>Capacity!I9</x:f>
        <x:v>0.5643870085470085</x:v>
      </x:c>
      <x:c r="H7" s="9" t="n">
        <x:f>COUNTIF(MPS!M7:M14,"SHORTAGE")+COUNTIF(MPS!M7:M14,"BELOW TARGET")</x:f>
        <x:v>0</x:v>
      </x:c>
      <x:c r="J7" t="str">
        <x:f>TEXT(A7,"mmm")</x:f>
        <x:v>Jan</x:v>
      </x:c>
      <x:c r="K7" t="n">
        <x:f>B7</x:f>
        <x:v>78000</x:v>
      </x:c>
      <x:c r="L7" t="n">
        <x:f>C7</x:f>
        <x:v>81432</x:v>
      </x:c>
    </x:row>
    <x:row r="8" ht="25" customHeight="1">
      <x:c r="A8" s="11" t="n">
        <x:f>Demand!A15</x:f>
        <x:v>46419</x:v>
      </x:c>
      <x:c r="B8" s="17" t="n">
        <x:f>SUM(MPS!E15:E22)</x:f>
        <x:v>80731</x:v>
      </x:c>
      <x:c r="C8" s="17" t="n">
        <x:f>SUM(MPS!J15:J22)</x:f>
        <x:v>82056</x:v>
      </x:c>
      <x:c r="D8" s="17" t="n">
        <x:f>SUM(MPS!K15:K22)</x:f>
        <x:v>39157</x:v>
      </x:c>
      <x:c r="E8" s="18" t="n">
        <x:f>MPS!K15*Inputs!F7+MPS!K16*Inputs!F7+MPS!K17*Inputs!F8+MPS!K18*Inputs!F8+MPS!K19*Inputs!F9+MPS!K20*Inputs!F9+MPS!K21*Inputs!F10+MPS!K22*Inputs!F10</x:f>
        <x:v>399030</x:v>
      </x:c>
      <x:c r="F8" s="16" t="n">
        <x:f>Capacity!I11</x:f>
        <x:v>0.7386181818181818</x:v>
      </x:c>
      <x:c r="G8" s="16" t="n">
        <x:f>Capacity!I13</x:f>
        <x:v>0.7017353846153846</x:v>
      </x:c>
      <x:c r="H8" s="9" t="n">
        <x:f>COUNTIF(MPS!M15:M22,"SHORTAGE")+COUNTIF(MPS!M15:M22,"BELOW TARGET")</x:f>
        <x:v>0</x:v>
      </x:c>
      <x:c r="J8" t="str">
        <x:f>TEXT(A8,"mmm")</x:f>
        <x:v>Feb</x:v>
      </x:c>
      <x:c r="K8" t="n">
        <x:f>B8</x:f>
        <x:v>80731</x:v>
      </x:c>
      <x:c r="L8" t="n">
        <x:f>C8</x:f>
        <x:v>82056</x:v>
      </x:c>
    </x:row>
    <x:row r="9" ht="25" customHeight="1">
      <x:c r="A9" s="11" t="n">
        <x:f>Demand!A23</x:f>
        <x:v>46447</x:v>
      </x:c>
      <x:c r="B9" s="17" t="n">
        <x:f>SUM(MPS!E23:E30)</x:f>
        <x:v>83460</x:v>
      </x:c>
      <x:c r="C9" s="17" t="n">
        <x:f>SUM(MPS!J23:J30)</x:f>
        <x:v>84784</x:v>
      </x:c>
      <x:c r="D9" s="17" t="n">
        <x:f>SUM(MPS!K23:K30)</x:f>
        <x:v>40481</x:v>
      </x:c>
      <x:c r="E9" s="18" t="n">
        <x:f>MPS!K23*Inputs!F7+MPS!K24*Inputs!F7+MPS!K25*Inputs!F8+MPS!K26*Inputs!F8+MPS!K27*Inputs!F9+MPS!K28*Inputs!F9+MPS!K29*Inputs!F10+MPS!K30*Inputs!F10</x:f>
        <x:v>412520</x:v>
      </x:c>
      <x:c r="F9" s="16" t="n">
        <x:f>Capacity!I15</x:f>
        <x:v>0.7629954545454546</x:v>
      </x:c>
      <x:c r="G9" s="16" t="n">
        <x:f>Capacity!I17</x:f>
        <x:v>0.725243076923077</x:v>
      </x:c>
      <x:c r="H9" s="9" t="n">
        <x:f>COUNTIF(MPS!M23:M30,"SHORTAGE")+COUNTIF(MPS!M23:M30,"BELOW TARGET")</x:f>
        <x:v>0</x:v>
      </x:c>
      <x:c r="J9" t="str">
        <x:f>TEXT(A9,"mmm")</x:f>
        <x:v>Mar</x:v>
      </x:c>
      <x:c r="K9" t="n">
        <x:f>B9</x:f>
        <x:v>83460</x:v>
      </x:c>
      <x:c r="L9" t="n">
        <x:f>C9</x:f>
        <x:v>84784</x:v>
      </x:c>
    </x:row>
    <x:row r="10" ht="25" customHeight="1">
      <x:c r="A10" s="11" t="n">
        <x:f>Demand!A31</x:f>
        <x:v>46478</x:v>
      </x:c>
      <x:c r="B10" s="17" t="n">
        <x:f>SUM(MPS!E31:E38)</x:f>
        <x:v>86192</x:v>
      </x:c>
      <x:c r="C10" s="17" t="n">
        <x:f>SUM(MPS!J31:J38)</x:f>
        <x:v>87516</x:v>
      </x:c>
      <x:c r="D10" s="17" t="n">
        <x:f>SUM(MPS!K31:K38)</x:f>
        <x:v>41805</x:v>
      </x:c>
      <x:c r="E10" s="18" t="n">
        <x:f>MPS!K31*Inputs!F7+MPS!K32*Inputs!F7+MPS!K33*Inputs!F8+MPS!K34*Inputs!F8+MPS!K35*Inputs!F9+MPS!K36*Inputs!F9+MPS!K37*Inputs!F10+MPS!K38*Inputs!F10</x:f>
        <x:v>426010</x:v>
      </x:c>
      <x:c r="F10" s="16" t="n">
        <x:f>Capacity!I19</x:f>
        <x:v>0.7874227272727273</x:v>
      </x:c>
      <x:c r="G10" s="16" t="n">
        <x:f>Capacity!I21</x:f>
        <x:v>0.7487808547008546</x:v>
      </x:c>
      <x:c r="H10" s="9" t="n">
        <x:f>COUNTIF(MPS!M31:M38,"SHORTAGE")+COUNTIF(MPS!M31:M38,"BELOW TARGET")</x:f>
        <x:v>0</x:v>
      </x:c>
      <x:c r="J10" t="str">
        <x:f>TEXT(A10,"mmm")</x:f>
        <x:v>Apr</x:v>
      </x:c>
      <x:c r="K10" t="n">
        <x:f>B10</x:f>
        <x:v>86192</x:v>
      </x:c>
      <x:c r="L10" t="n">
        <x:f>C10</x:f>
        <x:v>87516</x:v>
      </x:c>
    </x:row>
    <x:row r="11" ht="25" customHeight="1">
      <x:c r="A11" s="11" t="n">
        <x:f>Demand!A39</x:f>
        <x:v>46508</x:v>
      </x:c>
      <x:c r="B11" s="17" t="n">
        <x:f>SUM(MPS!E39:E46)</x:f>
        <x:v>88920</x:v>
      </x:c>
      <x:c r="C11" s="17" t="n">
        <x:f>SUM(MPS!J39:J46)</x:f>
        <x:v>90243</x:v>
      </x:c>
      <x:c r="D11" s="17" t="n">
        <x:f>SUM(MPS!K39:K46)</x:f>
        <x:v>43128</x:v>
      </x:c>
      <x:c r="E11" s="18" t="n">
        <x:f>MPS!K39*Inputs!F7+MPS!K40*Inputs!F7+MPS!K41*Inputs!F8+MPS!K42*Inputs!F8+MPS!K43*Inputs!F9+MPS!K44*Inputs!F9+MPS!K45*Inputs!F10+MPS!K46*Inputs!F10</x:f>
        <x:v>439496</x:v>
      </x:c>
      <x:c r="F11" s="16" t="n">
        <x:f>Capacity!I23</x:f>
        <x:v>0.8117681818181818</x:v>
      </x:c>
      <x:c r="G11" s="16" t="n">
        <x:f>Capacity!I25</x:f>
        <x:v>0.7722953846153846</x:v>
      </x:c>
      <x:c r="H11" s="9" t="n">
        <x:f>COUNTIF(MPS!M39:M46,"SHORTAGE")+COUNTIF(MPS!M39:M46,"BELOW TARGET")</x:f>
        <x:v>0</x:v>
      </x:c>
      <x:c r="J11" t="str">
        <x:f>TEXT(A11,"mmm")</x:f>
        <x:v>May</x:v>
      </x:c>
      <x:c r="K11" t="n">
        <x:f>B11</x:f>
        <x:v>88920</x:v>
      </x:c>
      <x:c r="L11" t="n">
        <x:f>C11</x:f>
        <x:v>90243</x:v>
      </x:c>
    </x:row>
    <x:row r="12" ht="25" customHeight="1">
      <x:c r="A12" s="11" t="n">
        <x:f>Demand!A47</x:f>
        <x:v>46539</x:v>
      </x:c>
      <x:c r="B12" s="17" t="n">
        <x:f>SUM(MPS!E47:E54)</x:f>
        <x:v>118952</x:v>
      </x:c>
      <x:c r="C12" s="17" t="n">
        <x:f>SUM(MPS!J47:J54)</x:f>
        <x:v>133517</x:v>
      </x:c>
      <x:c r="D12" s="17" t="n">
        <x:f>SUM(MPS!K47:K54)</x:f>
        <x:v>57693</x:v>
      </x:c>
      <x:c r="E12" s="18" t="n">
        <x:f>MPS!K47*Inputs!F7+MPS!K48*Inputs!F7+MPS!K49*Inputs!F8+MPS!K50*Inputs!F8+MPS!K51*Inputs!F9+MPS!K52*Inputs!F9+MPS!K53*Inputs!F10+MPS!K54*Inputs!F10</x:f>
        <x:v>587918</x:v>
      </x:c>
      <x:c r="F12" s="16" t="n">
        <x:f>Capacity!I27</x:f>
        <x:v>1.2493772727272727</x:v>
      </x:c>
      <x:c r="G12" s="16" t="n">
        <x:f>Capacity!I29</x:f>
        <x:v>1.0931008547008545</x:v>
      </x:c>
      <x:c r="H12" s="9" t="n">
        <x:f>COUNTIF(MPS!M47:M54,"SHORTAGE")+COUNTIF(MPS!M47:M54,"BELOW TARGET")</x:f>
        <x:v>0</x:v>
      </x:c>
      <x:c r="J12" t="str">
        <x:f>TEXT(A12,"mmm")</x:f>
        <x:v>Jun</x:v>
      </x:c>
      <x:c r="K12" t="n">
        <x:f>B12</x:f>
        <x:v>118952</x:v>
      </x:c>
      <x:c r="L12" t="n">
        <x:f>C12</x:f>
        <x:v>133517</x:v>
      </x:c>
    </x:row>
    <x:row r="13" ht="25" customHeight="1">
      <x:c r="A13" s="11" t="n">
        <x:f>Demand!A55</x:f>
        <x:v>46569</x:v>
      </x:c>
      <x:c r="B13" s="17" t="n">
        <x:f>SUM(MPS!E55:E62)</x:f>
        <x:v>94380</x:v>
      </x:c>
      <x:c r="C13" s="17" t="n">
        <x:f>SUM(MPS!J55:J62)</x:f>
        <x:v>82464</x:v>
      </x:c>
      <x:c r="D13" s="17" t="n">
        <x:f>SUM(MPS!K55:K62)</x:f>
        <x:v>45777</x:v>
      </x:c>
      <x:c r="E13" s="18" t="n">
        <x:f>MPS!K55*Inputs!F7+MPS!K56*Inputs!F7+MPS!K57*Inputs!F8+MPS!K58*Inputs!F8+MPS!K59*Inputs!F9+MPS!K60*Inputs!F9+MPS!K61*Inputs!F10+MPS!K62*Inputs!F10</x:f>
        <x:v>466490</x:v>
      </x:c>
      <x:c r="F13" s="16" t="n">
        <x:f>Capacity!I31</x:f>
        <x:v>0.6915181818181819</x:v>
      </x:c>
      <x:c r="G13" s="16" t="n">
        <x:f>Capacity!I33</x:f>
        <x:v>0.7572553846153847</x:v>
      </x:c>
      <x:c r="H13" s="9" t="n">
        <x:f>COUNTIF(MPS!M55:M62,"SHORTAGE")+COUNTIF(MPS!M55:M62,"BELOW TARGET")</x:f>
        <x:v>0</x:v>
      </x:c>
      <x:c r="J13" t="str">
        <x:f>TEXT(A13,"mmm")</x:f>
        <x:v>Jul</x:v>
      </x:c>
      <x:c r="K13" t="n">
        <x:f>B13</x:f>
        <x:v>94380</x:v>
      </x:c>
      <x:c r="L13" t="n">
        <x:f>C13</x:f>
        <x:v>82464</x:v>
      </x:c>
    </x:row>
    <x:row r="14" ht="25" customHeight="1">
      <x:c r="A14" s="11" t="n">
        <x:f>Demand!A63</x:f>
        <x:v>46600</x:v>
      </x:c>
      <x:c r="B14" s="17" t="n">
        <x:f>SUM(MPS!E63:E70)</x:f>
        <x:v>97112</x:v>
      </x:c>
      <x:c r="C14" s="17" t="n">
        <x:f>SUM(MPS!J63:J70)</x:f>
        <x:v>98435</x:v>
      </x:c>
      <x:c r="D14" s="17" t="n">
        <x:f>SUM(MPS!K63:K70)</x:f>
        <x:v>47100</x:v>
      </x:c>
      <x:c r="E14" s="18" t="n">
        <x:f>MPS!K63*Inputs!F7+MPS!K64*Inputs!F7+MPS!K65*Inputs!F8+MPS!K66*Inputs!F8+MPS!K67*Inputs!F9+MPS!K68*Inputs!F9+MPS!K69*Inputs!F10+MPS!K70*Inputs!F10</x:f>
        <x:v>479968</x:v>
      </x:c>
      <x:c r="F14" s="16" t="n">
        <x:f>Capacity!I35</x:f>
        <x:v>0.8850409090909092</x:v>
      </x:c>
      <x:c r="G14" s="16" t="n">
        <x:f>Capacity!I37</x:f>
        <x:v>0.842848547008547</x:v>
      </x:c>
      <x:c r="H14" s="9" t="n">
        <x:f>COUNTIF(MPS!M63:M70,"SHORTAGE")+COUNTIF(MPS!M63:M70,"BELOW TARGET")</x:f>
        <x:v>0</x:v>
      </x:c>
      <x:c r="J14" t="str">
        <x:f>TEXT(A14,"mmm")</x:f>
        <x:v>Aug</x:v>
      </x:c>
      <x:c r="K14" t="n">
        <x:f>B14</x:f>
        <x:v>97112</x:v>
      </x:c>
      <x:c r="L14" t="n">
        <x:f>C14</x:f>
        <x:v>98435</x:v>
      </x:c>
    </x:row>
    <x:row r="15" ht="25" customHeight="1">
      <x:c r="A15" s="11" t="n">
        <x:f>Demand!A71</x:f>
        <x:v>46631</x:v>
      </x:c>
      <x:c r="B15" s="17" t="n">
        <x:f>SUM(MPS!E71:E78)</x:f>
        <x:v>99840</x:v>
      </x:c>
      <x:c r="C15" s="17" t="n">
        <x:f>SUM(MPS!J71:J78)</x:f>
        <x:v>101163</x:v>
      </x:c>
      <x:c r="D15" s="17" t="n">
        <x:f>SUM(MPS!K71:K78)</x:f>
        <x:v>48423</x:v>
      </x:c>
      <x:c r="E15" s="18" t="n">
        <x:f>MPS!K71*Inputs!F7+MPS!K72*Inputs!F7+MPS!K73*Inputs!F8+MPS!K74*Inputs!F8+MPS!K75*Inputs!F9+MPS!K76*Inputs!F9+MPS!K77*Inputs!F10+MPS!K78*Inputs!F10</x:f>
        <x:v>493454</x:v>
      </x:c>
      <x:c r="F15" s="16" t="n">
        <x:f>Capacity!I39</x:f>
        <x:v>0.9093863636363636</x:v>
      </x:c>
      <x:c r="G15" s="16" t="n">
        <x:f>Capacity!I41</x:f>
        <x:v>0.8663753846153847</x:v>
      </x:c>
      <x:c r="H15" s="9" t="n">
        <x:f>COUNTIF(MPS!M71:M78,"SHORTAGE")+COUNTIF(MPS!M71:M78,"BELOW TARGET")</x:f>
        <x:v>0</x:v>
      </x:c>
      <x:c r="J15" t="str">
        <x:f>TEXT(A15,"mmm")</x:f>
        <x:v>Sep</x:v>
      </x:c>
      <x:c r="K15" t="n">
        <x:f>B15</x:f>
        <x:v>99840</x:v>
      </x:c>
      <x:c r="L15" t="n">
        <x:f>C15</x:f>
        <x:v>101163</x:v>
      </x:c>
    </x:row>
    <x:row r="16" ht="25" customHeight="1">
      <x:c r="A16" s="11" t="n">
        <x:f>Demand!A79</x:f>
        <x:v>46661</x:v>
      </x:c>
      <x:c r="B16" s="17" t="n">
        <x:f>SUM(MPS!E79:E86)</x:f>
        <x:v>102572</x:v>
      </x:c>
      <x:c r="C16" s="17" t="n">
        <x:f>SUM(MPS!J79:J86)</x:f>
        <x:v>103899</x:v>
      </x:c>
      <x:c r="D16" s="17" t="n">
        <x:f>SUM(MPS!K79:K86)</x:f>
        <x:v>49750</x:v>
      </x:c>
      <x:c r="E16" s="18" t="n">
        <x:f>MPS!K79*Inputs!F7+MPS!K80*Inputs!F7+MPS!K81*Inputs!F8+MPS!K82*Inputs!F8+MPS!K83*Inputs!F9+MPS!K84*Inputs!F9+MPS!K85*Inputs!F10+MPS!K86*Inputs!F10</x:f>
        <x:v>506976</x:v>
      </x:c>
      <x:c r="F16" s="16" t="n">
        <x:f>Capacity!I43</x:f>
        <x:v>0.9338954545454545</x:v>
      </x:c>
      <x:c r="G16" s="16" t="n">
        <x:f>Capacity!I45</x:f>
        <x:v>0.8899131623931623</x:v>
      </x:c>
      <x:c r="H16" s="9" t="n">
        <x:f>COUNTIF(MPS!M79:M86,"SHORTAGE")+COUNTIF(MPS!M79:M86,"BELOW TARGET")</x:f>
        <x:v>0</x:v>
      </x:c>
      <x:c r="J16" t="str">
        <x:f>TEXT(A16,"mmm")</x:f>
        <x:v>Oct</x:v>
      </x:c>
      <x:c r="K16" t="n">
        <x:f>B16</x:f>
        <x:v>102572</x:v>
      </x:c>
      <x:c r="L16" t="n">
        <x:f>C16</x:f>
        <x:v>103899</x:v>
      </x:c>
    </x:row>
    <x:row r="17" ht="25" customHeight="1">
      <x:c r="A17" s="11" t="n">
        <x:f>Demand!A87</x:f>
        <x:v>46692</x:v>
      </x:c>
      <x:c r="B17" s="17" t="n">
        <x:f>SUM(MPS!E87:E94)</x:f>
        <x:v>105300</x:v>
      </x:c>
      <x:c r="C17" s="17" t="n">
        <x:f>SUM(MPS!J87:J94)</x:f>
        <x:v>106622</x:v>
      </x:c>
      <x:c r="D17" s="17" t="n">
        <x:f>SUM(MPS!K87:K94)</x:f>
        <x:v>51072</x:v>
      </x:c>
      <x:c r="E17" s="18" t="n">
        <x:f>MPS!K87*Inputs!F7+MPS!K88*Inputs!F7+MPS!K89*Inputs!F8+MPS!K90*Inputs!F8+MPS!K91*Inputs!F9+MPS!K92*Inputs!F9+MPS!K93*Inputs!F10+MPS!K94*Inputs!F10</x:f>
        <x:v>520448</x:v>
      </x:c>
      <x:c r="F17" s="16" t="n">
        <x:f>Capacity!I47</x:f>
        <x:v>0.9581909090909091</x:v>
      </x:c>
      <x:c r="G17" s="16" t="n">
        <x:f>Capacity!I49</x:f>
        <x:v>0.9134030769230769</x:v>
      </x:c>
      <x:c r="H17" s="9" t="n">
        <x:f>COUNTIF(MPS!M87:M94,"SHORTAGE")+COUNTIF(MPS!M87:M94,"BELOW TARGET")</x:f>
        <x:v>0</x:v>
      </x:c>
      <x:c r="J17" t="str">
        <x:f>TEXT(A17,"mmm")</x:f>
        <x:v>Nov</x:v>
      </x:c>
      <x:c r="K17" t="n">
        <x:f>B17</x:f>
        <x:v>105300</x:v>
      </x:c>
      <x:c r="L17" t="n">
        <x:f>C17</x:f>
        <x:v>106622</x:v>
      </x:c>
    </x:row>
    <x:row r="18" ht="25" customHeight="1">
      <x:c r="A18" s="11" t="n">
        <x:f>Demand!A95</x:f>
        <x:v>46722</x:v>
      </x:c>
      <x:c r="B18" s="17" t="n">
        <x:f>SUM(MPS!E95:E102)</x:f>
        <x:v>108032</x:v>
      </x:c>
      <x:c r="C18" s="17" t="n">
        <x:f>SUM(MPS!J95:J102)</x:f>
        <x:v>109358</x:v>
      </x:c>
      <x:c r="D18" s="17" t="n">
        <x:f>SUM(MPS!K95:K102)</x:f>
        <x:v>52398</x:v>
      </x:c>
      <x:c r="E18" s="18" t="n">
        <x:f>MPS!K95*Inputs!F7+MPS!K96*Inputs!F7+MPS!K97*Inputs!F8+MPS!K98*Inputs!F8+MPS!K99*Inputs!F9+MPS!K100*Inputs!F9+MPS!K101*Inputs!F10+MPS!K102*Inputs!F10</x:f>
        <x:v>533960</x:v>
      </x:c>
      <x:c r="F18" s="16" t="n">
        <x:f>Capacity!I51</x:f>
        <x:v>0.9826818181818182</x:v>
      </x:c>
      <x:c r="G18" s="16" t="n">
        <x:f>Capacity!I53</x:f>
        <x:v>0.9369531623931624</x:v>
      </x:c>
      <x:c r="H18" s="9" t="n">
        <x:f>COUNTIF(MPS!M95:M102,"SHORTAGE")+COUNTIF(MPS!M95:M102,"BELOW TARGET")</x:f>
        <x:v>0</x:v>
      </x:c>
      <x:c r="J18" t="str">
        <x:f>TEXT(A18,"mmm")</x:f>
        <x:v>Dec</x:v>
      </x:c>
      <x:c r="K18" t="n">
        <x:f>B18</x:f>
        <x:v>108032</x:v>
      </x:c>
      <x:c r="L18" t="n">
        <x:f>C18</x:f>
        <x:v>109358</x:v>
      </x:c>
    </x:row>
    <x:row r="19" ht="25" customHeight="1">
      <x:c r="A19" s="9"/>
      <x:c r="B19" s="9"/>
      <x:c r="C19" s="9"/>
      <x:c r="D19" s="9"/>
      <x:c r="E19" s="9"/>
      <x:c r="F19" s="9"/>
      <x:c r="G19" s="9"/>
      <x:c r="H19" s="9"/>
    </x:row>
    <x:row r="20" ht="38" customHeight="1">
      <x:c r="A20" s="19" t="str">
        <x:v>Start in Guide, then edit blue inputs in Inputs and Demand. Review stock and capacity exceptions before accepting the plan.</x:v>
      </x:c>
      <x:c r="B20" s="19"/>
      <x:c r="C20" s="19"/>
      <x:c r="D20" s="19"/>
      <x:c r="E20" s="19"/>
      <x:c r="F20" s="19"/>
      <x:c r="G20" s="19"/>
      <x:c r="H20" s="19"/>
    </x:row>
    <x:row r="21" ht="25" customHeight="1">
      <x:c r="A21" s="9"/>
      <x:c r="B21" s="9"/>
      <x:c r="C21" s="9"/>
      <x:c r="D21" s="9"/>
      <x:c r="E21" s="9"/>
      <x:c r="F21" s="9"/>
      <x:c r="G21" s="9"/>
      <x:c r="H21" s="9"/>
    </x:row>
    <x:row r="22" ht="25" customHeight="1">
      <x:c r="A22" s="9"/>
      <x:c r="B22" s="9"/>
      <x:c r="C22" s="9"/>
      <x:c r="D22" s="9"/>
      <x:c r="E22" s="9"/>
      <x:c r="F22" s="9"/>
      <x:c r="G22" s="9"/>
      <x:c r="H22" s="9"/>
    </x:row>
    <x:row r="23" ht="25" customHeight="1">
      <x:c r="A23" s="9"/>
      <x:c r="B23" s="9"/>
      <x:c r="C23" s="9"/>
      <x:c r="D23" s="9"/>
      <x:c r="E23" s="9"/>
      <x:c r="F23" s="9"/>
      <x:c r="G23" s="9"/>
      <x:c r="H23" s="9"/>
    </x:row>
    <x:row r="24" ht="25" customHeight="1">
      <x:c r="A24" s="9"/>
      <x:c r="B24" s="9"/>
      <x:c r="C24" s="9"/>
      <x:c r="D24" s="9"/>
      <x:c r="E24" s="9"/>
      <x:c r="F24" s="9"/>
      <x:c r="G24" s="9"/>
      <x:c r="H24" s="9"/>
    </x:row>
    <x:row r="25" ht="25" customHeight="1">
      <x:c r="A25" s="9"/>
      <x:c r="B25" s="9"/>
      <x:c r="C25" s="9"/>
      <x:c r="D25" s="9"/>
      <x:c r="E25" s="9"/>
      <x:c r="F25" s="9"/>
      <x:c r="G25" s="9"/>
      <x:c r="H25" s="9"/>
    </x:row>
    <x:row r="26" ht="25" customHeight="1">
      <x:c r="A26" s="9"/>
      <x:c r="B26" s="9"/>
      <x:c r="C26" s="9"/>
      <x:c r="D26" s="9"/>
      <x:c r="E26" s="9"/>
      <x:c r="F26" s="9"/>
      <x:c r="G26" s="9"/>
      <x:c r="H26" s="9"/>
    </x:row>
    <x:row r="27" ht="25" customHeight="1">
      <x:c r="A27" s="9"/>
      <x:c r="B27" s="9"/>
      <x:c r="C27" s="9"/>
      <x:c r="D27" s="9"/>
      <x:c r="E27" s="9"/>
      <x:c r="F27" s="9"/>
      <x:c r="G27" s="9"/>
      <x:c r="H27" s="9"/>
    </x:row>
    <x:row r="28" ht="25" customHeight="1">
      <x:c r="A28" s="9"/>
      <x:c r="B28" s="9"/>
      <x:c r="C28" s="9"/>
      <x:c r="D28" s="9"/>
      <x:c r="E28" s="9"/>
      <x:c r="F28" s="9"/>
      <x:c r="G28" s="9"/>
      <x:c r="H28" s="9"/>
    </x:row>
    <x:row r="29" ht="25" customHeight="1">
      <x:c r="A29" s="9"/>
      <x:c r="B29" s="9"/>
      <x:c r="C29" s="9"/>
      <x:c r="D29" s="9"/>
      <x:c r="E29" s="9"/>
      <x:c r="F29" s="9"/>
      <x:c r="G29" s="9"/>
      <x:c r="H29" s="9"/>
    </x:row>
    <x:row r="30" ht="25" customHeight="1">
      <x:c r="A30" s="9"/>
      <x:c r="B30" s="9"/>
      <x:c r="C30" s="9"/>
      <x:c r="D30" s="9"/>
      <x:c r="E30" s="9"/>
      <x:c r="F30" s="9"/>
      <x:c r="G30" s="9"/>
      <x:c r="H30" s="9"/>
    </x:row>
    <x:row r="31" ht="25" customHeight="1">
      <x:c r="A31" s="9"/>
      <x:c r="B31" s="9"/>
      <x:c r="C31" s="9"/>
      <x:c r="D31" s="9"/>
      <x:c r="E31" s="9"/>
      <x:c r="F31" s="9"/>
      <x:c r="G31" s="9"/>
      <x:c r="H31" s="9"/>
    </x:row>
    <x:row r="32" ht="25" customHeight="1">
      <x:c r="A32" s="9"/>
      <x:c r="B32" s="9"/>
      <x:c r="C32" s="9"/>
      <x:c r="D32" s="9"/>
      <x:c r="E32" s="9"/>
      <x:c r="F32" s="9"/>
      <x:c r="G32" s="9"/>
      <x:c r="H32" s="9"/>
    </x:row>
    <x:row r="33" ht="25" customHeight="1">
      <x:c r="A33" s="9"/>
      <x:c r="B33" s="9"/>
      <x:c r="C33" s="9"/>
      <x:c r="D33" s="9"/>
      <x:c r="E33" s="9"/>
      <x:c r="F33" s="9"/>
      <x:c r="G33" s="9"/>
      <x:c r="H33" s="9"/>
    </x:row>
    <x:row r="34" ht="25" customHeight="1">
      <x:c r="A34" s="9"/>
      <x:c r="B34" s="9"/>
      <x:c r="C34" s="9"/>
      <x:c r="D34" s="9"/>
      <x:c r="E34" s="9"/>
      <x:c r="F34" s="9"/>
      <x:c r="G34" s="9"/>
      <x:c r="H34" s="9"/>
    </x:row>
    <x:row r="35" ht="25" customHeight="1">
      <x:c r="A35" s="9"/>
      <x:c r="B35" s="9"/>
      <x:c r="C35" s="9"/>
      <x:c r="D35" s="9"/>
      <x:c r="E35" s="9"/>
      <x:c r="F35" s="9"/>
      <x:c r="G35" s="9"/>
      <x:c r="H35" s="9"/>
    </x:row>
    <x:row r="36" ht="25" customHeight="1">
      <x:c r="A36" s="9"/>
      <x:c r="B36" s="9"/>
      <x:c r="C36" s="9"/>
      <x:c r="D36" s="9"/>
      <x:c r="E36" s="9"/>
      <x:c r="F36" s="9"/>
      <x:c r="G36" s="9"/>
      <x:c r="H36" s="9"/>
    </x:row>
    <x:row r="37" ht="25" customHeight="1">
      <x:c r="A37" s="9"/>
      <x:c r="B37" s="9"/>
      <x:c r="C37" s="9"/>
      <x:c r="D37" s="9"/>
      <x:c r="E37" s="9"/>
      <x:c r="F37" s="9"/>
      <x:c r="G37" s="9"/>
      <x:c r="H37" s="9"/>
    </x:row>
    <x:row r="38" ht="25" customHeight="1">
      <x:c r="A38" s="9"/>
      <x:c r="B38" s="9"/>
      <x:c r="C38" s="9"/>
      <x:c r="D38" s="9"/>
      <x:c r="E38" s="9"/>
      <x:c r="F38" s="9"/>
      <x:c r="G38" s="9"/>
      <x:c r="H38" s="9"/>
    </x:row>
    <x:row r="39" ht="25" customHeight="1">
      <x:c r="A39" s="9"/>
      <x:c r="B39" s="9"/>
      <x:c r="C39" s="9"/>
      <x:c r="D39" s="9"/>
      <x:c r="E39" s="9"/>
      <x:c r="F39" s="9"/>
      <x:c r="G39" s="9"/>
      <x:c r="H39" s="9"/>
    </x:row>
    <x:row r="40" ht="25" customHeight="1">
      <x:c r="A40" s="9"/>
      <x:c r="B40" s="9"/>
      <x:c r="C40" s="9"/>
      <x:c r="D40" s="9"/>
      <x:c r="E40" s="9"/>
      <x:c r="F40" s="9"/>
      <x:c r="G40" s="9"/>
      <x:c r="H40" s="9"/>
    </x:row>
    <x:row r="41" ht="25" customHeight="1">
      <x:c r="A41" s="9"/>
      <x:c r="B41" s="9"/>
      <x:c r="C41" s="9"/>
      <x:c r="D41" s="9"/>
      <x:c r="E41" s="9"/>
      <x:c r="F41" s="9"/>
      <x:c r="G41" s="9"/>
      <x:c r="H41" s="9"/>
    </x:row>
    <x:row r="42" ht="25" customHeight="1">
      <x:c r="A42" s="9"/>
      <x:c r="B42" s="9"/>
      <x:c r="C42" s="9"/>
      <x:c r="D42" s="9"/>
      <x:c r="E42" s="9"/>
      <x:c r="F42" s="9"/>
      <x:c r="G42" s="9"/>
      <x:c r="H42" s="9"/>
    </x:row>
    <x:row r="43" ht="25" customHeight="1">
      <x:c r="A43" s="9"/>
      <x:c r="B43" s="9"/>
      <x:c r="C43" s="9"/>
      <x:c r="D43" s="9"/>
      <x:c r="E43" s="9"/>
      <x:c r="F43" s="9"/>
      <x:c r="G43" s="9"/>
      <x:c r="H43" s="9"/>
    </x:row>
    <x:row r="44" ht="25" customHeight="1">
      <x:c r="A44" s="9"/>
      <x:c r="B44" s="9"/>
      <x:c r="C44" s="9"/>
      <x:c r="D44" s="9"/>
      <x:c r="E44" s="9"/>
      <x:c r="F44" s="9"/>
      <x:c r="G44" s="9"/>
      <x:c r="H44" s="9"/>
    </x:row>
    <x:row r="45" ht="25" customHeight="1">
      <x:c r="A45" s="9"/>
      <x:c r="B45" s="9"/>
      <x:c r="C45" s="9"/>
      <x:c r="D45" s="9"/>
      <x:c r="E45" s="9"/>
      <x:c r="F45" s="9"/>
      <x:c r="G45" s="9"/>
      <x:c r="H45" s="9"/>
    </x:row>
    <x:row r="46" ht="25" customHeight="1">
      <x:c r="A46" s="9"/>
      <x:c r="B46" s="9"/>
      <x:c r="C46" s="9"/>
      <x:c r="D46" s="9"/>
      <x:c r="E46" s="9"/>
      <x:c r="F46" s="9"/>
      <x:c r="G46" s="9"/>
      <x:c r="H46" s="9"/>
    </x:row>
    <x:row r="47" ht="25" customHeight="1">
      <x:c r="A47" s="9"/>
      <x:c r="B47" s="9"/>
      <x:c r="C47" s="9"/>
      <x:c r="D47" s="9"/>
      <x:c r="E47" s="9"/>
      <x:c r="F47" s="9"/>
      <x:c r="G47" s="9"/>
      <x:c r="H47" s="9"/>
    </x:row>
    <x:row r="48" ht="25" customHeight="1">
      <x:c r="A48" s="9"/>
      <x:c r="B48" s="9"/>
      <x:c r="C48" s="9"/>
      <x:c r="D48" s="9"/>
      <x:c r="E48" s="9"/>
      <x:c r="F48" s="9"/>
      <x:c r="G48" s="9"/>
      <x:c r="H48" s="9"/>
    </x:row>
    <x:row r="49" ht="25" customHeight="1">
      <x:c r="A49" s="9"/>
      <x:c r="B49" s="9"/>
      <x:c r="C49" s="9"/>
      <x:c r="D49" s="9"/>
      <x:c r="E49" s="9"/>
      <x:c r="F49" s="9"/>
      <x:c r="G49" s="9"/>
      <x:c r="H49" s="9"/>
    </x:row>
    <x:row r="50" ht="25" customHeight="1">
      <x:c r="A50" s="9"/>
      <x:c r="B50" s="9"/>
      <x:c r="C50" s="9"/>
      <x:c r="D50" s="9"/>
      <x:c r="E50" s="9"/>
      <x:c r="F50" s="9"/>
      <x:c r="G50" s="9"/>
      <x:c r="H50" s="9"/>
    </x:row>
    <x:row r="51" ht="25" customHeight="1">
      <x:c r="A51" s="9"/>
      <x:c r="B51" s="9"/>
      <x:c r="C51" s="9"/>
      <x:c r="D51" s="9"/>
      <x:c r="E51" s="9"/>
      <x:c r="F51" s="9"/>
      <x:c r="G51" s="9"/>
      <x:c r="H51" s="9"/>
    </x:row>
    <x:row r="52" ht="25" customHeight="1">
      <x:c r="A52" s="9"/>
      <x:c r="B52" s="9"/>
      <x:c r="C52" s="9"/>
      <x:c r="D52" s="9"/>
      <x:c r="E52" s="9"/>
      <x:c r="F52" s="9"/>
      <x:c r="G52" s="9"/>
      <x:c r="H52" s="9"/>
    </x:row>
    <x:row r="53" ht="25" customHeight="1">
      <x:c r="A53" s="9"/>
      <x:c r="B53" s="9"/>
      <x:c r="C53" s="9"/>
      <x:c r="D53" s="9"/>
      <x:c r="E53" s="9"/>
      <x:c r="F53" s="9"/>
      <x:c r="G53" s="9"/>
      <x:c r="H53" s="9"/>
    </x:row>
    <x:row r="54" ht="25" customHeight="1">
      <x:c r="A54" s="9"/>
      <x:c r="B54" s="9"/>
      <x:c r="C54" s="9"/>
      <x:c r="D54" s="9"/>
      <x:c r="E54" s="9"/>
      <x:c r="F54" s="9"/>
      <x:c r="G54" s="9"/>
      <x:c r="H54" s="9"/>
    </x:row>
    <x:row r="55" ht="25" customHeight="1">
      <x:c r="A55" s="9"/>
      <x:c r="B55" s="9"/>
      <x:c r="C55" s="9"/>
      <x:c r="D55" s="9"/>
      <x:c r="E55" s="9"/>
      <x:c r="F55" s="9"/>
      <x:c r="G55" s="9"/>
      <x:c r="H55" s="9"/>
    </x:row>
    <x:row r="56" ht="25" customHeight="1">
      <x:c r="A56" s="9"/>
      <x:c r="B56" s="9"/>
      <x:c r="C56" s="9"/>
      <x:c r="D56" s="9"/>
      <x:c r="E56" s="9"/>
      <x:c r="F56" s="9"/>
      <x:c r="G56" s="9"/>
      <x:c r="H56" s="9"/>
    </x:row>
    <x:row r="57" ht="25" customHeight="1">
      <x:c r="A57" s="9"/>
      <x:c r="B57" s="9"/>
      <x:c r="C57" s="9"/>
      <x:c r="D57" s="9"/>
      <x:c r="E57" s="9"/>
      <x:c r="F57" s="9"/>
      <x:c r="G57" s="9"/>
      <x:c r="H57" s="9"/>
    </x:row>
    <x:row r="58" ht="25" customHeight="1">
      <x:c r="A58" s="9"/>
      <x:c r="B58" s="9"/>
      <x:c r="C58" s="9"/>
      <x:c r="D58" s="9"/>
      <x:c r="E58" s="9"/>
      <x:c r="F58" s="9"/>
      <x:c r="G58" s="9"/>
      <x:c r="H58" s="9"/>
    </x:row>
    <x:row r="59" ht="25" customHeight="1">
      <x:c r="A59" s="9"/>
      <x:c r="B59" s="9"/>
      <x:c r="C59" s="9"/>
      <x:c r="D59" s="9"/>
      <x:c r="E59" s="9"/>
      <x:c r="F59" s="9"/>
      <x:c r="G59" s="9"/>
      <x:c r="H59" s="9"/>
    </x:row>
    <x:row r="60" ht="25" customHeight="1">
      <x:c r="A60" s="9"/>
      <x:c r="B60" s="9"/>
      <x:c r="C60" s="9"/>
      <x:c r="D60" s="9"/>
      <x:c r="E60" s="9"/>
      <x:c r="F60" s="9"/>
      <x:c r="G60" s="9"/>
      <x:c r="H60" s="9"/>
    </x:row>
    <x:row r="61" ht="25" customHeight="1">
      <x:c r="A61" s="9"/>
      <x:c r="B61" s="9"/>
      <x:c r="C61" s="9"/>
      <x:c r="D61" s="9"/>
      <x:c r="E61" s="9"/>
      <x:c r="F61" s="9"/>
      <x:c r="G61" s="9"/>
      <x:c r="H61" s="9"/>
    </x:row>
    <x:row r="62" ht="25" customHeight="1">
      <x:c r="A62" s="9"/>
      <x:c r="B62" s="9"/>
      <x:c r="C62" s="9"/>
      <x:c r="D62" s="9"/>
      <x:c r="E62" s="9"/>
      <x:c r="F62" s="9"/>
      <x:c r="G62" s="9"/>
      <x:c r="H62" s="9"/>
    </x:row>
    <x:row r="63" ht="25" customHeight="1">
      <x:c r="A63" s="9"/>
      <x:c r="B63" s="9"/>
      <x:c r="C63" s="9"/>
      <x:c r="D63" s="9"/>
      <x:c r="E63" s="9"/>
      <x:c r="F63" s="9"/>
      <x:c r="G63" s="9"/>
      <x:c r="H63" s="9"/>
    </x:row>
    <x:row r="64" ht="25" customHeight="1">
      <x:c r="A64" s="9"/>
      <x:c r="B64" s="9"/>
      <x:c r="C64" s="9"/>
      <x:c r="D64" s="9"/>
      <x:c r="E64" s="9"/>
      <x:c r="F64" s="9"/>
      <x:c r="G64" s="9"/>
      <x:c r="H64" s="9"/>
    </x:row>
    <x:row r="65" ht="25" customHeight="1">
      <x:c r="A65" s="9"/>
      <x:c r="B65" s="9"/>
      <x:c r="C65" s="9"/>
      <x:c r="D65" s="9"/>
      <x:c r="E65" s="9"/>
      <x:c r="F65" s="9"/>
      <x:c r="G65" s="9"/>
      <x:c r="H65" s="9"/>
    </x:row>
    <x:row r="66" ht="25" customHeight="1">
      <x:c r="A66" s="9"/>
      <x:c r="B66" s="9"/>
      <x:c r="C66" s="9"/>
      <x:c r="D66" s="9"/>
      <x:c r="E66" s="9"/>
      <x:c r="F66" s="9"/>
      <x:c r="G66" s="9"/>
      <x:c r="H66" s="9"/>
    </x:row>
    <x:row r="67" ht="25" customHeight="1">
      <x:c r="A67" s="9"/>
      <x:c r="B67" s="9"/>
      <x:c r="C67" s="9"/>
      <x:c r="D67" s="9"/>
      <x:c r="E67" s="9"/>
      <x:c r="F67" s="9"/>
      <x:c r="G67" s="9"/>
      <x:c r="H67" s="9"/>
    </x:row>
    <x:row r="68" ht="25" customHeight="1">
      <x:c r="A68" s="9"/>
      <x:c r="B68" s="9"/>
      <x:c r="C68" s="9"/>
      <x:c r="D68" s="9"/>
      <x:c r="E68" s="9"/>
      <x:c r="F68" s="9"/>
      <x:c r="G68" s="9"/>
      <x:c r="H68" s="9"/>
    </x:row>
    <x:row r="69" ht="25" customHeight="1">
      <x:c r="A69" s="9"/>
      <x:c r="B69" s="9"/>
      <x:c r="C69" s="9"/>
      <x:c r="D69" s="9"/>
      <x:c r="E69" s="9"/>
      <x:c r="F69" s="9"/>
      <x:c r="G69" s="9"/>
      <x:c r="H69" s="9"/>
    </x:row>
    <x:row r="70" ht="25" customHeight="1">
      <x:c r="A70" s="9"/>
      <x:c r="B70" s="9"/>
      <x:c r="C70" s="9"/>
      <x:c r="D70" s="9"/>
      <x:c r="E70" s="9"/>
      <x:c r="F70" s="9"/>
      <x:c r="G70" s="9"/>
      <x:c r="H70" s="9"/>
    </x:row>
    <x:row r="71" ht="25" customHeight="1">
      <x:c r="A71" s="9"/>
      <x:c r="B71" s="9"/>
      <x:c r="C71" s="9"/>
      <x:c r="D71" s="9"/>
      <x:c r="E71" s="9"/>
      <x:c r="F71" s="9"/>
      <x:c r="G71" s="9"/>
      <x:c r="H71" s="9"/>
    </x:row>
    <x:row r="72" ht="25" customHeight="1">
      <x:c r="A72" s="9"/>
      <x:c r="B72" s="9"/>
      <x:c r="C72" s="9"/>
      <x:c r="D72" s="9"/>
      <x:c r="E72" s="9"/>
      <x:c r="F72" s="9"/>
      <x:c r="G72" s="9"/>
      <x:c r="H72" s="9"/>
    </x:row>
    <x:row r="73" ht="25" customHeight="1">
      <x:c r="A73" s="9"/>
      <x:c r="B73" s="9"/>
      <x:c r="C73" s="9"/>
      <x:c r="D73" s="9"/>
      <x:c r="E73" s="9"/>
      <x:c r="F73" s="9"/>
      <x:c r="G73" s="9"/>
      <x:c r="H73" s="9"/>
    </x:row>
    <x:row r="74" ht="25" customHeight="1">
      <x:c r="A74" s="9"/>
      <x:c r="B74" s="9"/>
      <x:c r="C74" s="9"/>
      <x:c r="D74" s="9"/>
      <x:c r="E74" s="9"/>
      <x:c r="F74" s="9"/>
      <x:c r="G74" s="9"/>
      <x:c r="H74" s="9"/>
    </x:row>
    <x:row r="75" ht="25" customHeight="1">
      <x:c r="A75" s="9"/>
      <x:c r="B75" s="9"/>
      <x:c r="C75" s="9"/>
      <x:c r="D75" s="9"/>
      <x:c r="E75" s="9"/>
      <x:c r="F75" s="9"/>
      <x:c r="G75" s="9"/>
      <x:c r="H75" s="9"/>
    </x:row>
    <x:row r="76" ht="25" customHeight="1">
      <x:c r="A76" s="9"/>
      <x:c r="B76" s="9"/>
      <x:c r="C76" s="9"/>
      <x:c r="D76" s="9"/>
      <x:c r="E76" s="9"/>
      <x:c r="F76" s="9"/>
      <x:c r="G76" s="9"/>
      <x:c r="H76" s="9"/>
    </x:row>
    <x:row r="77" ht="25" customHeight="1">
      <x:c r="A77" s="9"/>
      <x:c r="B77" s="9"/>
      <x:c r="C77" s="9"/>
      <x:c r="D77" s="9"/>
      <x:c r="E77" s="9"/>
      <x:c r="F77" s="9"/>
      <x:c r="G77" s="9"/>
      <x:c r="H77" s="9"/>
    </x:row>
    <x:row r="78" ht="25" customHeight="1">
      <x:c r="A78" s="9"/>
      <x:c r="B78" s="9"/>
      <x:c r="C78" s="9"/>
      <x:c r="D78" s="9"/>
      <x:c r="E78" s="9"/>
      <x:c r="F78" s="9"/>
      <x:c r="G78" s="9"/>
      <x:c r="H78" s="9"/>
    </x:row>
    <x:row r="79" ht="25" customHeight="1">
      <x:c r="A79" s="9"/>
      <x:c r="B79" s="9"/>
      <x:c r="C79" s="9"/>
      <x:c r="D79" s="9"/>
      <x:c r="E79" s="9"/>
      <x:c r="F79" s="9"/>
      <x:c r="G79" s="9"/>
      <x:c r="H79" s="9"/>
    </x:row>
    <x:row r="80" ht="25" customHeight="1">
      <x:c r="A80" s="9"/>
      <x:c r="B80" s="9"/>
      <x:c r="C80" s="9"/>
      <x:c r="D80" s="9"/>
      <x:c r="E80" s="9"/>
      <x:c r="F80" s="9"/>
      <x:c r="G80" s="9"/>
      <x:c r="H80" s="9"/>
    </x:row>
    <x:row r="81" ht="25" customHeight="1">
      <x:c r="A81" s="9"/>
      <x:c r="B81" s="9"/>
      <x:c r="C81" s="9"/>
      <x:c r="D81" s="9"/>
      <x:c r="E81" s="9"/>
      <x:c r="F81" s="9"/>
      <x:c r="G81" s="9"/>
      <x:c r="H81" s="9"/>
    </x:row>
    <x:row r="82" ht="25" customHeight="1">
      <x:c r="A82" s="9"/>
      <x:c r="B82" s="9"/>
      <x:c r="C82" s="9"/>
      <x:c r="D82" s="9"/>
      <x:c r="E82" s="9"/>
      <x:c r="F82" s="9"/>
      <x:c r="G82" s="9"/>
      <x:c r="H82" s="9"/>
    </x:row>
    <x:row r="83" ht="25" customHeight="1">
      <x:c r="A83" s="9"/>
      <x:c r="B83" s="9"/>
      <x:c r="C83" s="9"/>
      <x:c r="D83" s="9"/>
      <x:c r="E83" s="9"/>
      <x:c r="F83" s="9"/>
      <x:c r="G83" s="9"/>
      <x:c r="H83" s="9"/>
    </x:row>
    <x:row r="84" ht="25" customHeight="1">
      <x:c r="A84" s="9"/>
      <x:c r="B84" s="9"/>
      <x:c r="C84" s="9"/>
      <x:c r="D84" s="9"/>
      <x:c r="E84" s="9"/>
      <x:c r="F84" s="9"/>
      <x:c r="G84" s="9"/>
      <x:c r="H84" s="9"/>
    </x:row>
    <x:row r="85" ht="25" customHeight="1">
      <x:c r="A85" s="9"/>
      <x:c r="B85" s="9"/>
      <x:c r="C85" s="9"/>
      <x:c r="D85" s="9"/>
      <x:c r="E85" s="9"/>
      <x:c r="F85" s="9"/>
      <x:c r="G85" s="9"/>
      <x:c r="H85" s="9"/>
    </x:row>
    <x:row r="86" ht="25" customHeight="1">
      <x:c r="A86" s="9"/>
      <x:c r="B86" s="9"/>
      <x:c r="C86" s="9"/>
      <x:c r="D86" s="9"/>
      <x:c r="E86" s="9"/>
      <x:c r="F86" s="9"/>
      <x:c r="G86" s="9"/>
      <x:c r="H86" s="9"/>
    </x:row>
    <x:row r="87" ht="25" customHeight="1">
      <x:c r="A87" s="9"/>
      <x:c r="B87" s="9"/>
      <x:c r="C87" s="9"/>
      <x:c r="D87" s="9"/>
      <x:c r="E87" s="9"/>
      <x:c r="F87" s="9"/>
      <x:c r="G87" s="9"/>
      <x:c r="H87" s="9"/>
    </x:row>
    <x:row r="88" ht="25" customHeight="1">
      <x:c r="A88" s="9"/>
      <x:c r="B88" s="9"/>
      <x:c r="C88" s="9"/>
      <x:c r="D88" s="9"/>
      <x:c r="E88" s="9"/>
      <x:c r="F88" s="9"/>
      <x:c r="G88" s="9"/>
      <x:c r="H88" s="9"/>
    </x:row>
    <x:row r="89" ht="25" customHeight="1">
      <x:c r="A89" s="9"/>
      <x:c r="B89" s="9"/>
      <x:c r="C89" s="9"/>
      <x:c r="D89" s="9"/>
      <x:c r="E89" s="9"/>
      <x:c r="F89" s="9"/>
      <x:c r="G89" s="9"/>
      <x:c r="H89" s="9"/>
    </x:row>
    <x:row r="90" ht="25" customHeight="1">
      <x:c r="A90" s="9"/>
      <x:c r="B90" s="9"/>
      <x:c r="C90" s="9"/>
      <x:c r="D90" s="9"/>
      <x:c r="E90" s="9"/>
      <x:c r="F90" s="9"/>
      <x:c r="G90" s="9"/>
      <x:c r="H90" s="9"/>
    </x:row>
    <x:row r="91" ht="25" customHeight="1">
      <x:c r="A91" s="9"/>
      <x:c r="B91" s="9"/>
      <x:c r="C91" s="9"/>
      <x:c r="D91" s="9"/>
      <x:c r="E91" s="9"/>
      <x:c r="F91" s="9"/>
      <x:c r="G91" s="9"/>
      <x:c r="H91" s="9"/>
    </x:row>
    <x:row r="92" ht="25" customHeight="1">
      <x:c r="A92" s="9"/>
      <x:c r="B92" s="9"/>
      <x:c r="C92" s="9"/>
      <x:c r="D92" s="9"/>
      <x:c r="E92" s="9"/>
      <x:c r="F92" s="9"/>
      <x:c r="G92" s="9"/>
      <x:c r="H92" s="9"/>
    </x:row>
    <x:row r="93" ht="25" customHeight="1">
      <x:c r="A93" s="9"/>
      <x:c r="B93" s="9"/>
      <x:c r="C93" s="9"/>
      <x:c r="D93" s="9"/>
      <x:c r="E93" s="9"/>
      <x:c r="F93" s="9"/>
      <x:c r="G93" s="9"/>
      <x:c r="H93" s="9"/>
    </x:row>
    <x:row r="94" ht="25" customHeight="1">
      <x:c r="A94" s="9"/>
      <x:c r="B94" s="9"/>
      <x:c r="C94" s="9"/>
      <x:c r="D94" s="9"/>
      <x:c r="E94" s="9"/>
      <x:c r="F94" s="9"/>
      <x:c r="G94" s="9"/>
      <x:c r="H94" s="9"/>
    </x:row>
    <x:row r="95" ht="25" customHeight="1">
      <x:c r="A95" s="9"/>
      <x:c r="B95" s="9"/>
      <x:c r="C95" s="9"/>
      <x:c r="D95" s="9"/>
      <x:c r="E95" s="9"/>
      <x:c r="F95" s="9"/>
      <x:c r="G95" s="9"/>
      <x:c r="H95" s="9"/>
    </x:row>
    <x:row r="96" ht="25" customHeight="1">
      <x:c r="A96" s="9"/>
      <x:c r="B96" s="9"/>
      <x:c r="C96" s="9"/>
      <x:c r="D96" s="9"/>
      <x:c r="E96" s="9"/>
      <x:c r="F96" s="9"/>
      <x:c r="G96" s="9"/>
      <x:c r="H96" s="9"/>
    </x:row>
    <x:row r="97" ht="25" customHeight="1">
      <x:c r="A97" s="9"/>
      <x:c r="B97" s="9"/>
      <x:c r="C97" s="9"/>
      <x:c r="D97" s="9"/>
      <x:c r="E97" s="9"/>
      <x:c r="F97" s="9"/>
      <x:c r="G97" s="9"/>
      <x:c r="H97" s="9"/>
    </x:row>
    <x:row r="98" ht="25" customHeight="1">
      <x:c r="A98" s="9"/>
      <x:c r="B98" s="9"/>
      <x:c r="C98" s="9"/>
      <x:c r="D98" s="9"/>
      <x:c r="E98" s="9"/>
      <x:c r="F98" s="9"/>
      <x:c r="G98" s="9"/>
      <x:c r="H98" s="9"/>
    </x:row>
    <x:row r="99" ht="25" customHeight="1">
      <x:c r="A99" s="9"/>
      <x:c r="B99" s="9"/>
      <x:c r="C99" s="9"/>
      <x:c r="D99" s="9"/>
      <x:c r="E99" s="9"/>
      <x:c r="F99" s="9"/>
      <x:c r="G99" s="9"/>
      <x:c r="H99" s="9"/>
    </x:row>
    <x:row r="100" ht="25" customHeight="1">
      <x:c r="A100" s="9"/>
      <x:c r="B100" s="9"/>
      <x:c r="C100" s="9"/>
      <x:c r="D100" s="9"/>
      <x:c r="E100" s="9"/>
      <x:c r="F100" s="9"/>
      <x:c r="G100" s="9"/>
      <x:c r="H100" s="9"/>
    </x:row>
    <x:row r="101" ht="25" customHeight="1">
      <x:c r="A101" s="9"/>
      <x:c r="B101" s="9"/>
      <x:c r="C101" s="9"/>
      <x:c r="D101" s="9"/>
      <x:c r="E101" s="9"/>
      <x:c r="F101" s="9"/>
      <x:c r="G101" s="9"/>
      <x:c r="H101" s="9"/>
    </x:row>
    <x:row r="102" ht="25" customHeight="1">
      <x:c r="A102" s="9"/>
      <x:c r="B102" s="9"/>
      <x:c r="C102" s="9"/>
      <x:c r="D102" s="9"/>
      <x:c r="E102" s="9"/>
      <x:c r="F102" s="9"/>
      <x:c r="G102" s="9"/>
      <x:c r="H102" s="9"/>
    </x:row>
    <x:row r="103" ht="25" customHeight="1">
      <x:c r="A103" s="9"/>
      <x:c r="B103" s="9"/>
      <x:c r="C103" s="9"/>
      <x:c r="D103" s="9"/>
      <x:c r="E103" s="9"/>
      <x:c r="F103" s="9"/>
      <x:c r="G103" s="9"/>
      <x:c r="H103" s="9"/>
    </x:row>
    <x:row r="104" ht="25" customHeight="1">
      <x:c r="A104" s="9"/>
      <x:c r="B104" s="9"/>
      <x:c r="C104" s="9"/>
      <x:c r="D104" s="9"/>
      <x:c r="E104" s="9"/>
      <x:c r="F104" s="9"/>
      <x:c r="G104" s="9"/>
      <x:c r="H104" s="9"/>
    </x:row>
    <x:row r="105" ht="25" customHeight="1">
      <x:c r="A105" s="9"/>
      <x:c r="B105" s="9"/>
      <x:c r="C105" s="9"/>
      <x:c r="D105" s="9"/>
      <x:c r="E105" s="9"/>
      <x:c r="F105" s="9"/>
      <x:c r="G105" s="9"/>
      <x:c r="H105" s="9"/>
    </x:row>
    <x:row r="106" ht="25" customHeight="1">
      <x:c r="A106" s="9"/>
      <x:c r="B106" s="9"/>
      <x:c r="C106" s="9"/>
      <x:c r="D106" s="9"/>
      <x:c r="E106" s="9"/>
      <x:c r="F106" s="9"/>
      <x:c r="G106" s="9"/>
      <x:c r="H106" s="9"/>
    </x:row>
    <x:row r="107" ht="25" customHeight="1">
      <x:c r="A107" s="9"/>
      <x:c r="B107" s="9"/>
      <x:c r="C107" s="9"/>
      <x:c r="D107" s="9"/>
      <x:c r="E107" s="9"/>
      <x:c r="F107" s="9"/>
      <x:c r="G107" s="9"/>
      <x:c r="H107" s="9"/>
    </x:row>
    <x:row r="108" ht="25" customHeight="1">
      <x:c r="A108" s="9"/>
      <x:c r="B108" s="9"/>
      <x:c r="C108" s="9"/>
      <x:c r="D108" s="9"/>
      <x:c r="E108" s="9"/>
      <x:c r="F108" s="9"/>
      <x:c r="G108" s="9"/>
      <x:c r="H108" s="9"/>
    </x:row>
    <x:row r="109" ht="25" customHeight="1">
      <x:c r="A109" s="9"/>
      <x:c r="B109" s="9"/>
      <x:c r="C109" s="9"/>
      <x:c r="D109" s="9"/>
      <x:c r="E109" s="9"/>
      <x:c r="F109" s="9"/>
      <x:c r="G109" s="9"/>
      <x:c r="H109" s="9"/>
    </x:row>
    <x:row r="110" ht="25" customHeight="1">
      <x:c r="A110" s="9"/>
      <x:c r="B110" s="9"/>
      <x:c r="C110" s="9"/>
      <x:c r="D110" s="9"/>
      <x:c r="E110" s="9"/>
      <x:c r="F110" s="9"/>
      <x:c r="G110" s="9"/>
      <x:c r="H110" s="9"/>
    </x:row>
    <x:row r="111" ht="25" customHeight="1">
      <x:c r="A111" s="9"/>
      <x:c r="B111" s="9"/>
      <x:c r="C111" s="9"/>
      <x:c r="D111" s="9"/>
      <x:c r="E111" s="9"/>
      <x:c r="F111" s="9"/>
      <x:c r="G111" s="9"/>
      <x:c r="H111" s="9"/>
    </x:row>
    <x:row r="112" ht="25" customHeight="1">
      <x:c r="A112" s="9"/>
      <x:c r="B112" s="9"/>
      <x:c r="C112" s="9"/>
      <x:c r="D112" s="9"/>
      <x:c r="E112" s="9"/>
      <x:c r="F112" s="9"/>
      <x:c r="G112" s="9"/>
      <x:c r="H112" s="9"/>
    </x:row>
    <x:row r="113" ht="25" customHeight="1">
      <x:c r="A113" s="9"/>
      <x:c r="B113" s="9"/>
      <x:c r="C113" s="9"/>
      <x:c r="D113" s="9"/>
      <x:c r="E113" s="9"/>
      <x:c r="F113" s="9"/>
      <x:c r="G113" s="9"/>
      <x:c r="H113" s="9"/>
    </x:row>
    <x:row r="114" ht="25" customHeight="1">
      <x:c r="A114" s="9"/>
      <x:c r="B114" s="9"/>
      <x:c r="C114" s="9"/>
      <x:c r="D114" s="9"/>
      <x:c r="E114" s="9"/>
      <x:c r="F114" s="9"/>
      <x:c r="G114" s="9"/>
      <x:c r="H114" s="9"/>
    </x:row>
    <x:row r="115" ht="25" customHeight="1">
      <x:c r="A115" s="9"/>
      <x:c r="B115" s="9"/>
      <x:c r="C115" s="9"/>
      <x:c r="D115" s="9"/>
      <x:c r="E115" s="9"/>
      <x:c r="F115" s="9"/>
      <x:c r="G115" s="9"/>
      <x:c r="H115" s="9"/>
    </x:row>
    <x:row r="116" ht="25" customHeight="1">
      <x:c r="A116" s="9"/>
      <x:c r="B116" s="9"/>
      <x:c r="C116" s="9"/>
      <x:c r="D116" s="9"/>
      <x:c r="E116" s="9"/>
      <x:c r="F116" s="9"/>
      <x:c r="G116" s="9"/>
      <x:c r="H116" s="9"/>
    </x:row>
    <x:row r="117" ht="25" customHeight="1">
      <x:c r="A117" s="9"/>
      <x:c r="B117" s="9"/>
      <x:c r="C117" s="9"/>
      <x:c r="D117" s="9"/>
      <x:c r="E117" s="9"/>
      <x:c r="F117" s="9"/>
      <x:c r="G117" s="9"/>
      <x:c r="H117" s="9"/>
    </x:row>
    <x:row r="118" ht="25" customHeight="1">
      <x:c r="A118" s="9"/>
      <x:c r="B118" s="9"/>
      <x:c r="C118" s="9"/>
      <x:c r="D118" s="9"/>
      <x:c r="E118" s="9"/>
      <x:c r="F118" s="9"/>
      <x:c r="G118" s="9"/>
      <x:c r="H118" s="9"/>
    </x:row>
    <x:row r="119" ht="25" customHeight="1">
      <x:c r="A119" s="9"/>
      <x:c r="B119" s="9"/>
      <x:c r="C119" s="9"/>
      <x:c r="D119" s="9"/>
      <x:c r="E119" s="9"/>
      <x:c r="F119" s="9"/>
      <x:c r="G119" s="9"/>
      <x:c r="H119" s="9"/>
    </x:row>
    <x:row r="120" ht="25" customHeight="1">
      <x:c r="A120" s="9"/>
      <x:c r="B120" s="9"/>
      <x:c r="C120" s="9"/>
      <x:c r="D120" s="9"/>
      <x:c r="E120" s="9"/>
      <x:c r="F120" s="9"/>
      <x:c r="G120" s="9"/>
      <x:c r="H120" s="9"/>
    </x:row>
  </x:sheetData>
  <x:mergeCells>
    <x:mergeCell ref="A1:H2"/>
    <x:mergeCell ref="A3:H4"/>
    <x:mergeCell ref="A20:H20"/>
  </x:mergeCells>
  <x:conditionalFormatting sqref="F7:G18">
    <x:cfRule type="cellIs" dxfId="0" priority="1" operator="greaterThan">
      <x:formula>1</x:formula>
    </x:cfRule>
  </x:conditionalFormatting>
  <x:pageMargins left="0.7" right="0.7" top="0.75" bottom="0.75" header="0.3" footer="0.3"/>
  <x:drawing xmlns:r="http://schemas.openxmlformats.org/officeDocument/2006/relationships" r:id="R29ed39aadf414ff2"/>
</x:worksheet>
</file>

<file path=xl/worksheets/sheet2.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22" hidden="0" customWidth="1"/>
  </x:cols>
  <x:sheetData>
    <x:row r="1" ht="24" customHeight="1">
      <x:c r="A1" s="2" t="str">
        <x:v>Master production plan</x:v>
      </x:c>
      <x:c r="B1" s="2"/>
      <x:c r="C1" s="2"/>
      <x:c r="D1" s="2"/>
      <x:c r="E1" s="2"/>
      <x:c r="F1" s="2"/>
      <x:c r="G1" s="2"/>
      <x:c r="H1" s="2"/>
      <x:c r="I1" s="2"/>
      <x:c r="J1" s="2"/>
      <x:c r="K1" s="2"/>
      <x:c r="L1" s="2"/>
      <x:c r="M1" s="2"/>
    </x:row>
    <x:row r="2" ht="24" customHeight="1">
      <x:c r="A2" s="2"/>
      <x:c r="B2" s="2"/>
      <x:c r="C2" s="2"/>
      <x:c r="D2" s="2"/>
      <x:c r="E2" s="2"/>
      <x:c r="F2" s="2"/>
      <x:c r="G2" s="2"/>
      <x:c r="H2" s="2"/>
      <x:c r="I2" s="2"/>
      <x:c r="J2" s="2"/>
      <x:c r="K2" s="2"/>
      <x:c r="L2" s="2"/>
      <x:c r="M2" s="2"/>
    </x:row>
    <x:row r="3" ht="22" customHeight="1">
      <x:c r="A3" s="4" t="str">
        <x:v>Rolling stock balance by SKU and warehouse. Demand = MAX(forecast, orders). Monthly receipts assume production and delivery in the same month.</x:v>
      </x:c>
      <x:c r="B3" s="4"/>
      <x:c r="C3" s="4"/>
      <x:c r="D3" s="4"/>
      <x:c r="E3" s="4"/>
      <x:c r="F3" s="4"/>
      <x:c r="G3" s="4"/>
      <x:c r="H3" s="4"/>
      <x:c r="I3" s="4"/>
      <x:c r="J3" s="4"/>
      <x:c r="K3" s="4"/>
      <x:c r="L3" s="4"/>
      <x:c r="M3" s="4"/>
    </x:row>
    <x:row r="4" ht="22" customHeight="1">
      <x:c r="A4" s="4"/>
      <x:c r="B4" s="4"/>
      <x:c r="C4" s="4"/>
      <x:c r="D4" s="4"/>
      <x:c r="E4" s="4"/>
      <x:c r="F4" s="4"/>
      <x:c r="G4" s="4"/>
      <x:c r="H4" s="4"/>
      <x:c r="I4" s="4"/>
      <x:c r="J4" s="4"/>
      <x:c r="K4" s="4"/>
      <x:c r="L4" s="4"/>
      <x:c r="M4" s="4"/>
    </x:row>
    <x:row r="6" ht="36" customHeight="1">
      <x:c r="A6" s="7" t="str">
        <x:v>Month</x:v>
      </x:c>
      <x:c r="B6" s="7" t="str">
        <x:v>Warehouse</x:v>
      </x:c>
      <x:c r="C6" s="7" t="str">
        <x:v>SKU</x:v>
      </x:c>
      <x:c r="D6" s="7" t="str">
        <x:v>Opening</x:v>
      </x:c>
      <x:c r="E6" s="7" t="str">
        <x:v>Demand</x:v>
      </x:c>
      <x:c r="F6" s="7" t="str">
        <x:v>Inbound</x:v>
      </x:c>
      <x:c r="G6" s="7" t="str">
        <x:v>Target stock</x:v>
      </x:c>
      <x:c r="H6" s="7" t="str">
        <x:v>Suggested prod.</x:v>
      </x:c>
      <x:c r="I6" s="7" t="str">
        <x:v>Adjustment</x:v>
      </x:c>
      <x:c r="J6" s="7" t="str">
        <x:v>Planned prod.</x:v>
      </x:c>
      <x:c r="K6" s="7" t="str">
        <x:v>Closing</x:v>
      </x:c>
      <x:c r="L6" s="7" t="str">
        <x:v>Cover weeks</x:v>
      </x:c>
      <x:c r="M6" s="7" t="str">
        <x:v>Status</x:v>
      </x:c>
    </x:row>
    <x:row r="7" ht="25" customHeight="1">
      <x:c r="A7" s="11" t="n">
        <x:f>Demand!A7</x:f>
        <x:v>46388</x:v>
      </x:c>
      <x:c r="B7" s="9" t="str">
        <x:f>Demand!B7</x:f>
        <x:v>WH-1</x:v>
      </x:c>
      <x:c r="C7" s="9" t="str">
        <x:f>Demand!C7</x:f>
        <x:v>DEMO-01</x:v>
      </x:c>
      <x:c r="D7" s="12" t="n">
        <x:f>Inputs!I7</x:f>
        <x:v>2500</x:v>
      </x:c>
      <x:c r="E7" s="12" t="n">
        <x:f>MAX(Demand!D7,Demand!E7)</x:f>
        <x:v>7000</x:v>
      </x:c>
      <x:c r="F7" s="12" t="n">
        <x:f>Demand!F7</x:f>
        <x:v>1200</x:v>
      </x:c>
      <x:c r="G7" s="12" t="n">
        <x:f>IF(Inputs!K7="MTO",0,ROUNDUP(E7*Inputs!J7/4.33,0))</x:f>
        <x:v>4850</x:v>
      </x:c>
      <x:c r="H7" s="12" t="n">
        <x:f>MAX(0,E7+G7-D7-F7)</x:f>
        <x:v>8150</x:v>
      </x:c>
      <x:c r="I7" s="12" t="n">
        <x:f>Demand!G7</x:f>
        <x:v>0</x:v>
      </x:c>
      <x:c r="J7" s="12" t="n">
        <x:f>MAX(0,H7+I7)</x:f>
        <x:v>8150</x:v>
      </x:c>
      <x:c r="K7" s="12" t="n">
        <x:f>D7+F7+J7-E7</x:f>
        <x:v>4850</x:v>
      </x:c>
      <x:c r="L7" s="15" t="n">
        <x:f>IF(E7=0,0,K7/E7*4.33)</x:f>
        <x:v>3.0000714285714287</x:v>
      </x:c>
      <x:c r="M7" s="9" t="str">
        <x:f>IF(K7&lt;0,"SHORTAGE",IF(K7&lt;G7,"BELOW TARGET","ON TARGET"))</x:f>
        <x:v>ON TARGET</x:v>
      </x:c>
    </x:row>
    <x:row r="8" ht="25" customHeight="1">
      <x:c r="A8" s="11" t="n">
        <x:f>Demand!A8</x:f>
        <x:v>46388</x:v>
      </x:c>
      <x:c r="B8" s="9" t="str">
        <x:f>Demand!B8</x:f>
        <x:v>WH-2</x:v>
      </x:c>
      <x:c r="C8" s="9" t="str">
        <x:f>Demand!C8</x:f>
        <x:v>DEMO-01</x:v>
      </x:c>
      <x:c r="D8" s="12" t="n">
        <x:f>Inputs!I8</x:f>
        <x:v>2500</x:v>
      </x:c>
      <x:c r="E8" s="12" t="n">
        <x:f>MAX(Demand!D8,Demand!E8)</x:f>
        <x:v>8600</x:v>
      </x:c>
      <x:c r="F8" s="12" t="n">
        <x:f>Demand!F8</x:f>
        <x:v>1200</x:v>
      </x:c>
      <x:c r="G8" s="12" t="n">
        <x:f>IF(Inputs!K8="MTO",0,ROUNDUP(E8*Inputs!J8/4.33,0))</x:f>
        <x:v>5959</x:v>
      </x:c>
      <x:c r="H8" s="12" t="n">
        <x:f>MAX(0,E8+G8-D8-F8)</x:f>
        <x:v>10859</x:v>
      </x:c>
      <x:c r="I8" s="12" t="n">
        <x:f>Demand!G8</x:f>
        <x:v>0</x:v>
      </x:c>
      <x:c r="J8" s="12" t="n">
        <x:f>MAX(0,H8+I8)</x:f>
        <x:v>10859</x:v>
      </x:c>
      <x:c r="K8" s="12" t="n">
        <x:f>D8+F8+J8-E8</x:f>
        <x:v>5959</x:v>
      </x:c>
      <x:c r="L8" s="15" t="n">
        <x:f>IF(E8=0,0,K8/E8*4.33)</x:f>
        <x:v>3.0002872093023254</x:v>
      </x:c>
      <x:c r="M8" s="9" t="str">
        <x:f>IF(K8&lt;0,"SHORTAGE",IF(K8&lt;G8,"BELOW TARGET","ON TARGET"))</x:f>
        <x:v>ON TARGET</x:v>
      </x:c>
    </x:row>
    <x:row r="9" ht="25" customHeight="1">
      <x:c r="A9" s="11" t="n">
        <x:f>Demand!A9</x:f>
        <x:v>46388</x:v>
      </x:c>
      <x:c r="B9" s="9" t="str">
        <x:f>Demand!B9</x:f>
        <x:v>WH-1</x:v>
      </x:c>
      <x:c r="C9" s="9" t="str">
        <x:f>Demand!C9</x:f>
        <x:v>DEMO-02</x:v>
      </x:c>
      <x:c r="D9" s="12" t="n">
        <x:f>Inputs!I9</x:f>
        <x:v>2900</x:v>
      </x:c>
      <x:c r="E9" s="12" t="n">
        <x:f>MAX(Demand!D9,Demand!E9)</x:f>
        <x:v>8300</x:v>
      </x:c>
      <x:c r="F9" s="12" t="n">
        <x:f>Demand!F9</x:f>
        <x:v>1200</x:v>
      </x:c>
      <x:c r="G9" s="12" t="n">
        <x:f>IF(Inputs!K9="MTO",0,ROUNDUP(E9*Inputs!J9/4.33,0))</x:f>
        <x:v>5751</x:v>
      </x:c>
      <x:c r="H9" s="12" t="n">
        <x:f>MAX(0,E9+G9-D9-F9)</x:f>
        <x:v>9951</x:v>
      </x:c>
      <x:c r="I9" s="12" t="n">
        <x:f>Demand!G9</x:f>
        <x:v>0</x:v>
      </x:c>
      <x:c r="J9" s="12" t="n">
        <x:f>MAX(0,H9+I9)</x:f>
        <x:v>9951</x:v>
      </x:c>
      <x:c r="K9" s="12" t="n">
        <x:f>D9+F9+J9-E9</x:f>
        <x:v>5751</x:v>
      </x:c>
      <x:c r="L9" s="15" t="n">
        <x:f>IF(E9=0,0,K9/E9*4.33)</x:f>
        <x:v>3.0002204819277107</x:v>
      </x:c>
      <x:c r="M9" s="9" t="str">
        <x:f>IF(K9&lt;0,"SHORTAGE",IF(K9&lt;G9,"BELOW TARGET","ON TARGET"))</x:f>
        <x:v>ON TARGET</x:v>
      </x:c>
    </x:row>
    <x:row r="10" ht="25" customHeight="1">
      <x:c r="A10" s="11" t="n">
        <x:f>Demand!A10</x:f>
        <x:v>46388</x:v>
      </x:c>
      <x:c r="B10" s="9" t="str">
        <x:f>Demand!B10</x:f>
        <x:v>WH-2</x:v>
      </x:c>
      <x:c r="C10" s="9" t="str">
        <x:f>Demand!C10</x:f>
        <x:v>DEMO-02</x:v>
      </x:c>
      <x:c r="D10" s="12" t="n">
        <x:f>Inputs!I10</x:f>
        <x:v>2900</x:v>
      </x:c>
      <x:c r="E10" s="12" t="n">
        <x:f>MAX(Demand!D10,Demand!E10)</x:f>
        <x:v>9900</x:v>
      </x:c>
      <x:c r="F10" s="12" t="n">
        <x:f>Demand!F10</x:f>
        <x:v>1200</x:v>
      </x:c>
      <x:c r="G10" s="12" t="n">
        <x:f>IF(Inputs!K10="MTO",0,ROUNDUP(E10*Inputs!J10/4.33,0))</x:f>
        <x:v>6860</x:v>
      </x:c>
      <x:c r="H10" s="12" t="n">
        <x:f>MAX(0,E10+G10-D10-F10)</x:f>
        <x:v>12660</x:v>
      </x:c>
      <x:c r="I10" s="12" t="n">
        <x:f>Demand!G10</x:f>
        <x:v>0</x:v>
      </x:c>
      <x:c r="J10" s="12" t="n">
        <x:f>MAX(0,H10+I10)</x:f>
        <x:v>12660</x:v>
      </x:c>
      <x:c r="K10" s="12" t="n">
        <x:f>D10+F10+J10-E10</x:f>
        <x:v>6860</x:v>
      </x:c>
      <x:c r="L10" s="15" t="n">
        <x:f>IF(E10=0,0,K10/E10*4.33)</x:f>
        <x:v>3.0003838383838386</x:v>
      </x:c>
      <x:c r="M10" s="9" t="str">
        <x:f>IF(K10&lt;0,"SHORTAGE",IF(K10&lt;G10,"BELOW TARGET","ON TARGET"))</x:f>
        <x:v>ON TARGET</x:v>
      </x:c>
    </x:row>
    <x:row r="11" ht="25" customHeight="1">
      <x:c r="A11" s="11" t="n">
        <x:f>Demand!A11</x:f>
        <x:v>46388</x:v>
      </x:c>
      <x:c r="B11" s="9" t="str">
        <x:f>Demand!B11</x:f>
        <x:v>WH-1</x:v>
      </x:c>
      <x:c r="C11" s="9" t="str">
        <x:f>Demand!C11</x:f>
        <x:v>DEMO-03</x:v>
      </x:c>
      <x:c r="D11" s="12" t="n">
        <x:f>Inputs!I11</x:f>
        <x:v>3300</x:v>
      </x:c>
      <x:c r="E11" s="12" t="n">
        <x:f>MAX(Demand!D11,Demand!E11)</x:f>
        <x:v>9600</x:v>
      </x:c>
      <x:c r="F11" s="12" t="n">
        <x:f>Demand!F11</x:f>
        <x:v>1200</x:v>
      </x:c>
      <x:c r="G11" s="12" t="n">
        <x:f>IF(Inputs!K11="MTO",0,ROUNDUP(E11*Inputs!J11/4.33,0))</x:f>
        <x:v>6652</x:v>
      </x:c>
      <x:c r="H11" s="12" t="n">
        <x:f>MAX(0,E11+G11-D11-F11)</x:f>
        <x:v>11752</x:v>
      </x:c>
      <x:c r="I11" s="12" t="n">
        <x:f>Demand!G11</x:f>
        <x:v>0</x:v>
      </x:c>
      <x:c r="J11" s="12" t="n">
        <x:f>MAX(0,H11+I11)</x:f>
        <x:v>11752</x:v>
      </x:c>
      <x:c r="K11" s="12" t="n">
        <x:f>D11+F11+J11-E11</x:f>
        <x:v>6652</x:v>
      </x:c>
      <x:c r="L11" s="15" t="n">
        <x:f>IF(E11=0,0,K11/E11*4.33)</x:f>
        <x:v>3.0003291666666665</x:v>
      </x:c>
      <x:c r="M11" s="9" t="str">
        <x:f>IF(K11&lt;0,"SHORTAGE",IF(K11&lt;G11,"BELOW TARGET","ON TARGET"))</x:f>
        <x:v>ON TARGET</x:v>
      </x:c>
    </x:row>
    <x:row r="12" ht="25" customHeight="1">
      <x:c r="A12" s="11" t="n">
        <x:f>Demand!A12</x:f>
        <x:v>46388</x:v>
      </x:c>
      <x:c r="B12" s="9" t="str">
        <x:f>Demand!B12</x:f>
        <x:v>WH-2</x:v>
      </x:c>
      <x:c r="C12" s="9" t="str">
        <x:f>Demand!C12</x:f>
        <x:v>DEMO-03</x:v>
      </x:c>
      <x:c r="D12" s="12" t="n">
        <x:f>Inputs!I12</x:f>
        <x:v>3300</x:v>
      </x:c>
      <x:c r="E12" s="12" t="n">
        <x:f>MAX(Demand!D12,Demand!E12)</x:f>
        <x:v>11200</x:v>
      </x:c>
      <x:c r="F12" s="12" t="n">
        <x:f>Demand!F12</x:f>
        <x:v>1200</x:v>
      </x:c>
      <x:c r="G12" s="12" t="n">
        <x:f>IF(Inputs!K12="MTO",0,ROUNDUP(E12*Inputs!J12/4.33,0))</x:f>
        <x:v>7760</x:v>
      </x:c>
      <x:c r="H12" s="12" t="n">
        <x:f>MAX(0,E12+G12-D12-F12)</x:f>
        <x:v>14460</x:v>
      </x:c>
      <x:c r="I12" s="12" t="n">
        <x:f>Demand!G12</x:f>
        <x:v>0</x:v>
      </x:c>
      <x:c r="J12" s="12" t="n">
        <x:f>MAX(0,H12+I12)</x:f>
        <x:v>14460</x:v>
      </x:c>
      <x:c r="K12" s="12" t="n">
        <x:f>D12+F12+J12-E12</x:f>
        <x:v>7760</x:v>
      </x:c>
      <x:c r="L12" s="15" t="n">
        <x:f>IF(E12=0,0,K12/E12*4.33)</x:f>
        <x:v>3.0000714285714287</x:v>
      </x:c>
      <x:c r="M12" s="9" t="str">
        <x:f>IF(K12&lt;0,"SHORTAGE",IF(K12&lt;G12,"BELOW TARGET","ON TARGET"))</x:f>
        <x:v>ON TARGET</x:v>
      </x:c>
    </x:row>
    <x:row r="13" ht="25" customHeight="1">
      <x:c r="A13" s="11" t="n">
        <x:f>Demand!A13</x:f>
        <x:v>46388</x:v>
      </x:c>
      <x:c r="B13" s="9" t="str">
        <x:f>Demand!B13</x:f>
        <x:v>WH-1</x:v>
      </x:c>
      <x:c r="C13" s="9" t="str">
        <x:f>Demand!C13</x:f>
        <x:v>DEMO-04</x:v>
      </x:c>
      <x:c r="D13" s="12" t="n">
        <x:f>Inputs!I13</x:f>
        <x:v>3700</x:v>
      </x:c>
      <x:c r="E13" s="12" t="n">
        <x:f>MAX(Demand!D13,Demand!E13)</x:f>
        <x:v>10900</x:v>
      </x:c>
      <x:c r="F13" s="12" t="n">
        <x:f>Demand!F13</x:f>
        <x:v>1200</x:v>
      </x:c>
      <x:c r="G13" s="12" t="n">
        <x:f>IF(Inputs!K13="MTO",0,ROUNDUP(E13*Inputs!J13/4.33,0))</x:f>
        <x:v>0</x:v>
      </x:c>
      <x:c r="H13" s="12" t="n">
        <x:f>MAX(0,E13+G13-D13-F13)</x:f>
        <x:v>6000</x:v>
      </x:c>
      <x:c r="I13" s="12" t="n">
        <x:f>Demand!G13</x:f>
        <x:v>0</x:v>
      </x:c>
      <x:c r="J13" s="12" t="n">
        <x:f>MAX(0,H13+I13)</x:f>
        <x:v>6000</x:v>
      </x:c>
      <x:c r="K13" s="12" t="n">
        <x:f>D13+F13+J13-E13</x:f>
        <x:v>0</x:v>
      </x:c>
      <x:c r="L13" s="15" t="n">
        <x:f>IF(E13=0,0,K13/E13*4.33)</x:f>
        <x:v>0</x:v>
      </x:c>
      <x:c r="M13" s="9" t="str">
        <x:f>IF(K13&lt;0,"SHORTAGE",IF(K13&lt;G13,"BELOW TARGET","ON TARGET"))</x:f>
        <x:v>ON TARGET</x:v>
      </x:c>
    </x:row>
    <x:row r="14" ht="25" customHeight="1">
      <x:c r="A14" s="11" t="n">
        <x:f>Demand!A14</x:f>
        <x:v>46388</x:v>
      </x:c>
      <x:c r="B14" s="9" t="str">
        <x:f>Demand!B14</x:f>
        <x:v>WH-2</x:v>
      </x:c>
      <x:c r="C14" s="9" t="str">
        <x:f>Demand!C14</x:f>
        <x:v>DEMO-04</x:v>
      </x:c>
      <x:c r="D14" s="12" t="n">
        <x:f>Inputs!I14</x:f>
        <x:v>3700</x:v>
      </x:c>
      <x:c r="E14" s="12" t="n">
        <x:f>MAX(Demand!D14,Demand!E14)</x:f>
        <x:v>12500</x:v>
      </x:c>
      <x:c r="F14" s="12" t="n">
        <x:f>Demand!F14</x:f>
        <x:v>1200</x:v>
      </x:c>
      <x:c r="G14" s="12" t="n">
        <x:f>IF(Inputs!K14="MTO",0,ROUNDUP(E14*Inputs!J14/4.33,0))</x:f>
        <x:v>0</x:v>
      </x:c>
      <x:c r="H14" s="12" t="n">
        <x:f>MAX(0,E14+G14-D14-F14)</x:f>
        <x:v>7600</x:v>
      </x:c>
      <x:c r="I14" s="12" t="n">
        <x:f>Demand!G14</x:f>
        <x:v>0</x:v>
      </x:c>
      <x:c r="J14" s="12" t="n">
        <x:f>MAX(0,H14+I14)</x:f>
        <x:v>7600</x:v>
      </x:c>
      <x:c r="K14" s="12" t="n">
        <x:f>D14+F14+J14-E14</x:f>
        <x:v>0</x:v>
      </x:c>
      <x:c r="L14" s="15" t="n">
        <x:f>IF(E14=0,0,K14/E14*4.33)</x:f>
        <x:v>0</x:v>
      </x:c>
      <x:c r="M14" s="9" t="str">
        <x:f>IF(K14&lt;0,"SHORTAGE",IF(K14&lt;G14,"BELOW TARGET","ON TARGET"))</x:f>
        <x:v>ON TARGET</x:v>
      </x:c>
    </x:row>
    <x:row r="15" ht="25" customHeight="1">
      <x:c r="A15" s="11" t="n">
        <x:f>Demand!A15</x:f>
        <x:v>46419</x:v>
      </x:c>
      <x:c r="B15" s="9" t="str">
        <x:f>Demand!B15</x:f>
        <x:v>WH-1</x:v>
      </x:c>
      <x:c r="C15" s="9" t="str">
        <x:f>Demand!C15</x:f>
        <x:v>DEMO-01</x:v>
      </x:c>
      <x:c r="D15" s="12" t="n">
        <x:f>K7</x:f>
        <x:v>4850</x:v>
      </x:c>
      <x:c r="E15" s="12" t="n">
        <x:f>MAX(Demand!D15,Demand!E15)</x:f>
        <x:v>7245</x:v>
      </x:c>
      <x:c r="F15" s="12" t="n">
        <x:f>Demand!F15</x:f>
        <x:v>0</x:v>
      </x:c>
      <x:c r="G15" s="12" t="n">
        <x:f>IF(Inputs!K7="MTO",0,ROUNDUP(E15*Inputs!J7/4.33,0))</x:f>
        <x:v>5020</x:v>
      </x:c>
      <x:c r="H15" s="12" t="n">
        <x:f>MAX(0,E15+G15-D15-F15)</x:f>
        <x:v>7415</x:v>
      </x:c>
      <x:c r="I15" s="12" t="n">
        <x:f>Demand!G15</x:f>
        <x:v>0</x:v>
      </x:c>
      <x:c r="J15" s="12" t="n">
        <x:f>MAX(0,H15+I15)</x:f>
        <x:v>7415</x:v>
      </x:c>
      <x:c r="K15" s="12" t="n">
        <x:f>D15+F15+J15-E15</x:f>
        <x:v>5020</x:v>
      </x:c>
      <x:c r="L15" s="15" t="n">
        <x:f>IF(E15=0,0,K15/E15*4.33)</x:f>
        <x:v>3.0002208419599725</x:v>
      </x:c>
      <x:c r="M15" s="9" t="str">
        <x:f>IF(K15&lt;0,"SHORTAGE",IF(K15&lt;G15,"BELOW TARGET","ON TARGET"))</x:f>
        <x:v>ON TARGET</x:v>
      </x:c>
    </x:row>
    <x:row r="16" ht="25" customHeight="1">
      <x:c r="A16" s="11" t="n">
        <x:f>Demand!A16</x:f>
        <x:v>46419</x:v>
      </x:c>
      <x:c r="B16" s="9" t="str">
        <x:f>Demand!B16</x:f>
        <x:v>WH-2</x:v>
      </x:c>
      <x:c r="C16" s="9" t="str">
        <x:f>Demand!C16</x:f>
        <x:v>DEMO-01</x:v>
      </x:c>
      <x:c r="D16" s="12" t="n">
        <x:f>K8</x:f>
        <x:v>5959</x:v>
      </x:c>
      <x:c r="E16" s="12" t="n">
        <x:f>MAX(Demand!D16,Demand!E16)</x:f>
        <x:v>8901</x:v>
      </x:c>
      <x:c r="F16" s="12" t="n">
        <x:f>Demand!F16</x:f>
        <x:v>0</x:v>
      </x:c>
      <x:c r="G16" s="12" t="n">
        <x:f>IF(Inputs!K8="MTO",0,ROUNDUP(E16*Inputs!J8/4.33,0))</x:f>
        <x:v>6167</x:v>
      </x:c>
      <x:c r="H16" s="12" t="n">
        <x:f>MAX(0,E16+G16-D16-F16)</x:f>
        <x:v>9109</x:v>
      </x:c>
      <x:c r="I16" s="12" t="n">
        <x:f>Demand!G16</x:f>
        <x:v>0</x:v>
      </x:c>
      <x:c r="J16" s="12" t="n">
        <x:f>MAX(0,H16+I16)</x:f>
        <x:v>9109</x:v>
      </x:c>
      <x:c r="K16" s="12" t="n">
        <x:f>D16+F16+J16-E16</x:f>
        <x:v>6167</x:v>
      </x:c>
      <x:c r="L16" s="15" t="n">
        <x:f>IF(E16=0,0,K16/E16*4.33)</x:f>
        <x:v>3.0000123581620044</x:v>
      </x:c>
      <x:c r="M16" s="9" t="str">
        <x:f>IF(K16&lt;0,"SHORTAGE",IF(K16&lt;G16,"BELOW TARGET","ON TARGET"))</x:f>
        <x:v>ON TARGET</x:v>
      </x:c>
    </x:row>
    <x:row r="17" ht="25" customHeight="1">
      <x:c r="A17" s="11" t="n">
        <x:f>Demand!A17</x:f>
        <x:v>46419</x:v>
      </x:c>
      <x:c r="B17" s="9" t="str">
        <x:f>Demand!B17</x:f>
        <x:v>WH-1</x:v>
      </x:c>
      <x:c r="C17" s="9" t="str">
        <x:f>Demand!C17</x:f>
        <x:v>DEMO-02</x:v>
      </x:c>
      <x:c r="D17" s="12" t="n">
        <x:f>K9</x:f>
        <x:v>5751</x:v>
      </x:c>
      <x:c r="E17" s="12" t="n">
        <x:f>MAX(Demand!D17,Demand!E17)</x:f>
        <x:v>8591</x:v>
      </x:c>
      <x:c r="F17" s="12" t="n">
        <x:f>Demand!F17</x:f>
        <x:v>0</x:v>
      </x:c>
      <x:c r="G17" s="12" t="n">
        <x:f>IF(Inputs!K9="MTO",0,ROUNDUP(E17*Inputs!J9/4.33,0))</x:f>
        <x:v>5953</x:v>
      </x:c>
      <x:c r="H17" s="12" t="n">
        <x:f>MAX(0,E17+G17-D17-F17)</x:f>
        <x:v>8793</x:v>
      </x:c>
      <x:c r="I17" s="12" t="n">
        <x:f>Demand!G17</x:f>
        <x:v>0</x:v>
      </x:c>
      <x:c r="J17" s="12" t="n">
        <x:f>MAX(0,H17+I17)</x:f>
        <x:v>8793</x:v>
      </x:c>
      <x:c r="K17" s="12" t="n">
        <x:f>D17+F17+J17-E17</x:f>
        <x:v>5953</x:v>
      </x:c>
      <x:c r="L17" s="15" t="n">
        <x:f>IF(E17=0,0,K17/E17*4.33)</x:f>
        <x:v>3.000406239087417</x:v>
      </x:c>
      <x:c r="M17" s="9" t="str">
        <x:f>IF(K17&lt;0,"SHORTAGE",IF(K17&lt;G17,"BELOW TARGET","ON TARGET"))</x:f>
        <x:v>ON TARGET</x:v>
      </x:c>
    </x:row>
    <x:row r="18" ht="25" customHeight="1">
      <x:c r="A18" s="11" t="n">
        <x:f>Demand!A18</x:f>
        <x:v>46419</x:v>
      </x:c>
      <x:c r="B18" s="9" t="str">
        <x:f>Demand!B18</x:f>
        <x:v>WH-2</x:v>
      </x:c>
      <x:c r="C18" s="9" t="str">
        <x:f>Demand!C18</x:f>
        <x:v>DEMO-02</x:v>
      </x:c>
      <x:c r="D18" s="12" t="n">
        <x:f>K10</x:f>
        <x:v>6860</x:v>
      </x:c>
      <x:c r="E18" s="12" t="n">
        <x:f>MAX(Demand!D18,Demand!E18)</x:f>
        <x:v>10247</x:v>
      </x:c>
      <x:c r="F18" s="12" t="n">
        <x:f>Demand!F18</x:f>
        <x:v>0</x:v>
      </x:c>
      <x:c r="G18" s="12" t="n">
        <x:f>IF(Inputs!K10="MTO",0,ROUNDUP(E18*Inputs!J10/4.33,0))</x:f>
        <x:v>7100</x:v>
      </x:c>
      <x:c r="H18" s="12" t="n">
        <x:f>MAX(0,E18+G18-D18-F18)</x:f>
        <x:v>10487</x:v>
      </x:c>
      <x:c r="I18" s="12" t="n">
        <x:f>Demand!G18</x:f>
        <x:v>0</x:v>
      </x:c>
      <x:c r="J18" s="12" t="n">
        <x:f>MAX(0,H18+I18)</x:f>
        <x:v>10487</x:v>
      </x:c>
      <x:c r="K18" s="12" t="n">
        <x:f>D18+F18+J18-E18</x:f>
        <x:v>7100</x:v>
      </x:c>
      <x:c r="L18" s="15" t="n">
        <x:f>IF(E18=0,0,K18/E18*4.33)</x:f>
        <x:v>3.000195179076803</x:v>
      </x:c>
      <x:c r="M18" s="9" t="str">
        <x:f>IF(K18&lt;0,"SHORTAGE",IF(K18&lt;G18,"BELOW TARGET","ON TARGET"))</x:f>
        <x:v>ON TARGET</x:v>
      </x:c>
    </x:row>
    <x:row r="19" ht="25" customHeight="1">
      <x:c r="A19" s="11" t="n">
        <x:f>Demand!A19</x:f>
        <x:v>46419</x:v>
      </x:c>
      <x:c r="B19" s="9" t="str">
        <x:f>Demand!B19</x:f>
        <x:v>WH-1</x:v>
      </x:c>
      <x:c r="C19" s="9" t="str">
        <x:f>Demand!C19</x:f>
        <x:v>DEMO-03</x:v>
      </x:c>
      <x:c r="D19" s="12" t="n">
        <x:f>K11</x:f>
        <x:v>6652</x:v>
      </x:c>
      <x:c r="E19" s="12" t="n">
        <x:f>MAX(Demand!D19,Demand!E19)</x:f>
        <x:v>9936</x:v>
      </x:c>
      <x:c r="F19" s="12" t="n">
        <x:f>Demand!F19</x:f>
        <x:v>0</x:v>
      </x:c>
      <x:c r="G19" s="12" t="n">
        <x:f>IF(Inputs!K11="MTO",0,ROUNDUP(E19*Inputs!J11/4.33,0))</x:f>
        <x:v>6885</x:v>
      </x:c>
      <x:c r="H19" s="12" t="n">
        <x:f>MAX(0,E19+G19-D19-F19)</x:f>
        <x:v>10169</x:v>
      </x:c>
      <x:c r="I19" s="12" t="n">
        <x:f>Demand!G19</x:f>
        <x:v>0</x:v>
      </x:c>
      <x:c r="J19" s="12" t="n">
        <x:f>MAX(0,H19+I19)</x:f>
        <x:v>10169</x:v>
      </x:c>
      <x:c r="K19" s="12" t="n">
        <x:f>D19+F19+J19-E19</x:f>
        <x:v>6885</x:v>
      </x:c>
      <x:c r="L19" s="15" t="n">
        <x:f>IF(E19=0,0,K19/E19*4.33)</x:f>
        <x:v>3.000407608695652</x:v>
      </x:c>
      <x:c r="M19" s="9" t="str">
        <x:f>IF(K19&lt;0,"SHORTAGE",IF(K19&lt;G19,"BELOW TARGET","ON TARGET"))</x:f>
        <x:v>ON TARGET</x:v>
      </x:c>
    </x:row>
    <x:row r="20" ht="25" customHeight="1">
      <x:c r="A20" s="11" t="n">
        <x:f>Demand!A20</x:f>
        <x:v>46419</x:v>
      </x:c>
      <x:c r="B20" s="9" t="str">
        <x:f>Demand!B20</x:f>
        <x:v>WH-2</x:v>
      </x:c>
      <x:c r="C20" s="9" t="str">
        <x:f>Demand!C20</x:f>
        <x:v>DEMO-03</x:v>
      </x:c>
      <x:c r="D20" s="12" t="n">
        <x:f>K12</x:f>
        <x:v>7760</x:v>
      </x:c>
      <x:c r="E20" s="12" t="n">
        <x:f>MAX(Demand!D20,Demand!E20)</x:f>
        <x:v>11592</x:v>
      </x:c>
      <x:c r="F20" s="12" t="n">
        <x:f>Demand!F20</x:f>
        <x:v>0</x:v>
      </x:c>
      <x:c r="G20" s="12" t="n">
        <x:f>IF(Inputs!K12="MTO",0,ROUNDUP(E20*Inputs!J12/4.33,0))</x:f>
        <x:v>8032</x:v>
      </x:c>
      <x:c r="H20" s="12" t="n">
        <x:f>MAX(0,E20+G20-D20-F20)</x:f>
        <x:v>11864</x:v>
      </x:c>
      <x:c r="I20" s="12" t="n">
        <x:f>Demand!G20</x:f>
        <x:v>0</x:v>
      </x:c>
      <x:c r="J20" s="12" t="n">
        <x:f>MAX(0,H20+I20)</x:f>
        <x:v>11864</x:v>
      </x:c>
      <x:c r="K20" s="12" t="n">
        <x:f>D20+F20+J20-E20</x:f>
        <x:v>8032</x:v>
      </x:c>
      <x:c r="L20" s="15" t="n">
        <x:f>IF(E20=0,0,K20/E20*4.33)</x:f>
        <x:v>3.0002208419599725</x:v>
      </x:c>
      <x:c r="M20" s="9" t="str">
        <x:f>IF(K20&lt;0,"SHORTAGE",IF(K20&lt;G20,"BELOW TARGET","ON TARGET"))</x:f>
        <x:v>ON TARGET</x:v>
      </x:c>
    </x:row>
    <x:row r="21" ht="25" customHeight="1">
      <x:c r="A21" s="11" t="n">
        <x:f>Demand!A21</x:f>
        <x:v>46419</x:v>
      </x:c>
      <x:c r="B21" s="9" t="str">
        <x:f>Demand!B21</x:f>
        <x:v>WH-1</x:v>
      </x:c>
      <x:c r="C21" s="9" t="str">
        <x:f>Demand!C21</x:f>
        <x:v>DEMO-04</x:v>
      </x:c>
      <x:c r="D21" s="12" t="n">
        <x:f>K13</x:f>
        <x:v>0</x:v>
      </x:c>
      <x:c r="E21" s="12" t="n">
        <x:f>MAX(Demand!D21,Demand!E21)</x:f>
        <x:v>11282</x:v>
      </x:c>
      <x:c r="F21" s="12" t="n">
        <x:f>Demand!F21</x:f>
        <x:v>0</x:v>
      </x:c>
      <x:c r="G21" s="12" t="n">
        <x:f>IF(Inputs!K13="MTO",0,ROUNDUP(E21*Inputs!J13/4.33,0))</x:f>
        <x:v>0</x:v>
      </x:c>
      <x:c r="H21" s="12" t="n">
        <x:f>MAX(0,E21+G21-D21-F21)</x:f>
        <x:v>11282</x:v>
      </x:c>
      <x:c r="I21" s="12" t="n">
        <x:f>Demand!G21</x:f>
        <x:v>0</x:v>
      </x:c>
      <x:c r="J21" s="12" t="n">
        <x:f>MAX(0,H21+I21)</x:f>
        <x:v>11282</x:v>
      </x:c>
      <x:c r="K21" s="12" t="n">
        <x:f>D21+F21+J21-E21</x:f>
        <x:v>0</x:v>
      </x:c>
      <x:c r="L21" s="15" t="n">
        <x:f>IF(E21=0,0,K21/E21*4.33)</x:f>
        <x:v>0</x:v>
      </x:c>
      <x:c r="M21" s="9" t="str">
        <x:f>IF(K21&lt;0,"SHORTAGE",IF(K21&lt;G21,"BELOW TARGET","ON TARGET"))</x:f>
        <x:v>ON TARGET</x:v>
      </x:c>
    </x:row>
    <x:row r="22" ht="25" customHeight="1">
      <x:c r="A22" s="11" t="n">
        <x:f>Demand!A22</x:f>
        <x:v>46419</x:v>
      </x:c>
      <x:c r="B22" s="9" t="str">
        <x:f>Demand!B22</x:f>
        <x:v>WH-2</x:v>
      </x:c>
      <x:c r="C22" s="9" t="str">
        <x:f>Demand!C22</x:f>
        <x:v>DEMO-04</x:v>
      </x:c>
      <x:c r="D22" s="12" t="n">
        <x:f>K14</x:f>
        <x:v>0</x:v>
      </x:c>
      <x:c r="E22" s="12" t="n">
        <x:f>MAX(Demand!D22,Demand!E22)</x:f>
        <x:v>12937</x:v>
      </x:c>
      <x:c r="F22" s="12" t="n">
        <x:f>Demand!F22</x:f>
        <x:v>0</x:v>
      </x:c>
      <x:c r="G22" s="12" t="n">
        <x:f>IF(Inputs!K14="MTO",0,ROUNDUP(E22*Inputs!J14/4.33,0))</x:f>
        <x:v>0</x:v>
      </x:c>
      <x:c r="H22" s="12" t="n">
        <x:f>MAX(0,E22+G22-D22-F22)</x:f>
        <x:v>12937</x:v>
      </x:c>
      <x:c r="I22" s="12" t="n">
        <x:f>Demand!G22</x:f>
        <x:v>0</x:v>
      </x:c>
      <x:c r="J22" s="12" t="n">
        <x:f>MAX(0,H22+I22)</x:f>
        <x:v>12937</x:v>
      </x:c>
      <x:c r="K22" s="12" t="n">
        <x:f>D22+F22+J22-E22</x:f>
        <x:v>0</x:v>
      </x:c>
      <x:c r="L22" s="15" t="n">
        <x:f>IF(E22=0,0,K22/E22*4.33)</x:f>
        <x:v>0</x:v>
      </x:c>
      <x:c r="M22" s="9" t="str">
        <x:f>IF(K22&lt;0,"SHORTAGE",IF(K22&lt;G22,"BELOW TARGET","ON TARGET"))</x:f>
        <x:v>ON TARGET</x:v>
      </x:c>
    </x:row>
    <x:row r="23" ht="25" customHeight="1">
      <x:c r="A23" s="11" t="n">
        <x:f>Demand!A23</x:f>
        <x:v>46447</x:v>
      </x:c>
      <x:c r="B23" s="9" t="str">
        <x:f>Demand!B23</x:f>
        <x:v>WH-1</x:v>
      </x:c>
      <x:c r="C23" s="9" t="str">
        <x:f>Demand!C23</x:f>
        <x:v>DEMO-01</x:v>
      </x:c>
      <x:c r="D23" s="12" t="n">
        <x:f>K15</x:f>
        <x:v>5020</x:v>
      </x:c>
      <x:c r="E23" s="12" t="n">
        <x:f>MAX(Demand!D23,Demand!E23)</x:f>
        <x:v>7490</x:v>
      </x:c>
      <x:c r="F23" s="12" t="n">
        <x:f>Demand!F23</x:f>
        <x:v>0</x:v>
      </x:c>
      <x:c r="G23" s="12" t="n">
        <x:f>IF(Inputs!K7="MTO",0,ROUNDUP(E23*Inputs!J7/4.33,0))</x:f>
        <x:v>5190</x:v>
      </x:c>
      <x:c r="H23" s="12" t="n">
        <x:f>MAX(0,E23+G23-D23-F23)</x:f>
        <x:v>7660</x:v>
      </x:c>
      <x:c r="I23" s="12" t="n">
        <x:f>Demand!G23</x:f>
        <x:v>0</x:v>
      </x:c>
      <x:c r="J23" s="12" t="n">
        <x:f>MAX(0,H23+I23)</x:f>
        <x:v>7660</x:v>
      </x:c>
      <x:c r="K23" s="12" t="n">
        <x:f>D23+F23+J23-E23</x:f>
        <x:v>5190</x:v>
      </x:c>
      <x:c r="L23" s="15" t="n">
        <x:f>IF(E23=0,0,K23/E23*4.33)</x:f>
        <x:v>3.0003604806408544</x:v>
      </x:c>
      <x:c r="M23" s="9" t="str">
        <x:f>IF(K23&lt;0,"SHORTAGE",IF(K23&lt;G23,"BELOW TARGET","ON TARGET"))</x:f>
        <x:v>ON TARGET</x:v>
      </x:c>
    </x:row>
    <x:row r="24" ht="25" customHeight="1">
      <x:c r="A24" s="11" t="n">
        <x:f>Demand!A24</x:f>
        <x:v>46447</x:v>
      </x:c>
      <x:c r="B24" s="9" t="str">
        <x:f>Demand!B24</x:f>
        <x:v>WH-2</x:v>
      </x:c>
      <x:c r="C24" s="9" t="str">
        <x:f>Demand!C24</x:f>
        <x:v>DEMO-01</x:v>
      </x:c>
      <x:c r="D24" s="12" t="n">
        <x:f>K16</x:f>
        <x:v>6167</x:v>
      </x:c>
      <x:c r="E24" s="12" t="n">
        <x:f>MAX(Demand!D24,Demand!E24)</x:f>
        <x:v>9202</x:v>
      </x:c>
      <x:c r="F24" s="12" t="n">
        <x:f>Demand!F24</x:f>
        <x:v>0</x:v>
      </x:c>
      <x:c r="G24" s="12" t="n">
        <x:f>IF(Inputs!K8="MTO",0,ROUNDUP(E24*Inputs!J8/4.33,0))</x:f>
        <x:v>6376</x:v>
      </x:c>
      <x:c r="H24" s="12" t="n">
        <x:f>MAX(0,E24+G24-D24-F24)</x:f>
        <x:v>9411</x:v>
      </x:c>
      <x:c r="I24" s="12" t="n">
        <x:f>Demand!G24</x:f>
        <x:v>0</x:v>
      </x:c>
      <x:c r="J24" s="12" t="n">
        <x:f>MAX(0,H24+I24)</x:f>
        <x:v>9411</x:v>
      </x:c>
      <x:c r="K24" s="12" t="n">
        <x:f>D24+F24+J24-E24</x:f>
        <x:v>6376</x:v>
      </x:c>
      <x:c r="L24" s="15" t="n">
        <x:f>IF(E24=0,0,K24/E24*4.33)</x:f>
        <x:v>3.0002260378178653</x:v>
      </x:c>
      <x:c r="M24" s="9" t="str">
        <x:f>IF(K24&lt;0,"SHORTAGE",IF(K24&lt;G24,"BELOW TARGET","ON TARGET"))</x:f>
        <x:v>ON TARGET</x:v>
      </x:c>
    </x:row>
    <x:row r="25" ht="25" customHeight="1">
      <x:c r="A25" s="11" t="n">
        <x:f>Demand!A25</x:f>
        <x:v>46447</x:v>
      </x:c>
      <x:c r="B25" s="9" t="str">
        <x:f>Demand!B25</x:f>
        <x:v>WH-1</x:v>
      </x:c>
      <x:c r="C25" s="9" t="str">
        <x:f>Demand!C25</x:f>
        <x:v>DEMO-02</x:v>
      </x:c>
      <x:c r="D25" s="12" t="n">
        <x:f>K17</x:f>
        <x:v>5953</x:v>
      </x:c>
      <x:c r="E25" s="12" t="n">
        <x:f>MAX(Demand!D25,Demand!E25)</x:f>
        <x:v>8881</x:v>
      </x:c>
      <x:c r="F25" s="12" t="n">
        <x:f>Demand!F25</x:f>
        <x:v>0</x:v>
      </x:c>
      <x:c r="G25" s="12" t="n">
        <x:f>IF(Inputs!K9="MTO",0,ROUNDUP(E25*Inputs!J9/4.33,0))</x:f>
        <x:v>6154</x:v>
      </x:c>
      <x:c r="H25" s="12" t="n">
        <x:f>MAX(0,E25+G25-D25-F25)</x:f>
        <x:v>9082</x:v>
      </x:c>
      <x:c r="I25" s="12" t="n">
        <x:f>Demand!G25</x:f>
        <x:v>0</x:v>
      </x:c>
      <x:c r="J25" s="12" t="n">
        <x:f>MAX(0,H25+I25)</x:f>
        <x:v>9082</x:v>
      </x:c>
      <x:c r="K25" s="12" t="n">
        <x:f>D25+F25+J25-E25</x:f>
        <x:v>6154</x:v>
      </x:c>
      <x:c r="L25" s="15" t="n">
        <x:f>IF(E25=0,0,K25/E25*4.33)</x:f>
        <x:v>3.000430131741921</x:v>
      </x:c>
      <x:c r="M25" s="9" t="str">
        <x:f>IF(K25&lt;0,"SHORTAGE",IF(K25&lt;G25,"BELOW TARGET","ON TARGET"))</x:f>
        <x:v>ON TARGET</x:v>
      </x:c>
    </x:row>
    <x:row r="26" ht="25" customHeight="1">
      <x:c r="A26" s="11" t="n">
        <x:f>Demand!A26</x:f>
        <x:v>46447</x:v>
      </x:c>
      <x:c r="B26" s="9" t="str">
        <x:f>Demand!B26</x:f>
        <x:v>WH-2</x:v>
      </x:c>
      <x:c r="C26" s="9" t="str">
        <x:f>Demand!C26</x:f>
        <x:v>DEMO-02</x:v>
      </x:c>
      <x:c r="D26" s="12" t="n">
        <x:f>K18</x:f>
        <x:v>7100</x:v>
      </x:c>
      <x:c r="E26" s="12" t="n">
        <x:f>MAX(Demand!D26,Demand!E26)</x:f>
        <x:v>10593</x:v>
      </x:c>
      <x:c r="F26" s="12" t="n">
        <x:f>Demand!F26</x:f>
        <x:v>0</x:v>
      </x:c>
      <x:c r="G26" s="12" t="n">
        <x:f>IF(Inputs!K10="MTO",0,ROUNDUP(E26*Inputs!J10/4.33,0))</x:f>
        <x:v>7340</x:v>
      </x:c>
      <x:c r="H26" s="12" t="n">
        <x:f>MAX(0,E26+G26-D26-F26)</x:f>
        <x:v>10833</x:v>
      </x:c>
      <x:c r="I26" s="12" t="n">
        <x:f>Demand!G26</x:f>
        <x:v>0</x:v>
      </x:c>
      <x:c r="J26" s="12" t="n">
        <x:f>MAX(0,H26+I26)</x:f>
        <x:v>10833</x:v>
      </x:c>
      <x:c r="K26" s="12" t="n">
        <x:f>D26+F26+J26-E26</x:f>
        <x:v>7340</x:v>
      </x:c>
      <x:c r="L26" s="15" t="n">
        <x:f>IF(E26=0,0,K26/E26*4.33)</x:f>
        <x:v>3.000302086283395</x:v>
      </x:c>
      <x:c r="M26" s="9" t="str">
        <x:f>IF(K26&lt;0,"SHORTAGE",IF(K26&lt;G26,"BELOW TARGET","ON TARGET"))</x:f>
        <x:v>ON TARGET</x:v>
      </x:c>
    </x:row>
    <x:row r="27" ht="25" customHeight="1">
      <x:c r="A27" s="11" t="n">
        <x:f>Demand!A27</x:f>
        <x:v>46447</x:v>
      </x:c>
      <x:c r="B27" s="9" t="str">
        <x:f>Demand!B27</x:f>
        <x:v>WH-1</x:v>
      </x:c>
      <x:c r="C27" s="9" t="str">
        <x:f>Demand!C27</x:f>
        <x:v>DEMO-03</x:v>
      </x:c>
      <x:c r="D27" s="12" t="n">
        <x:f>K19</x:f>
        <x:v>6885</x:v>
      </x:c>
      <x:c r="E27" s="12" t="n">
        <x:f>MAX(Demand!D27,Demand!E27)</x:f>
        <x:v>10272</x:v>
      </x:c>
      <x:c r="F27" s="12" t="n">
        <x:f>Demand!F27</x:f>
        <x:v>0</x:v>
      </x:c>
      <x:c r="G27" s="12" t="n">
        <x:f>IF(Inputs!K11="MTO",0,ROUNDUP(E27*Inputs!J11/4.33,0))</x:f>
        <x:v>7117</x:v>
      </x:c>
      <x:c r="H27" s="12" t="n">
        <x:f>MAX(0,E27+G27-D27-F27)</x:f>
        <x:v>10504</x:v>
      </x:c>
      <x:c r="I27" s="12" t="n">
        <x:f>Demand!G27</x:f>
        <x:v>0</x:v>
      </x:c>
      <x:c r="J27" s="12" t="n">
        <x:f>MAX(0,H27+I27)</x:f>
        <x:v>10504</x:v>
      </x:c>
      <x:c r="K27" s="12" t="n">
        <x:f>D27+F27+J27-E27</x:f>
        <x:v>7117</x:v>
      </x:c>
      <x:c r="L27" s="15" t="n">
        <x:f>IF(E27=0,0,K27/E27*4.33)</x:f>
        <x:v>3.0000593847352026</x:v>
      </x:c>
      <x:c r="M27" s="9" t="str">
        <x:f>IF(K27&lt;0,"SHORTAGE",IF(K27&lt;G27,"BELOW TARGET","ON TARGET"))</x:f>
        <x:v>ON TARGET</x:v>
      </x:c>
    </x:row>
    <x:row r="28" ht="25" customHeight="1">
      <x:c r="A28" s="11" t="n">
        <x:f>Demand!A28</x:f>
        <x:v>46447</x:v>
      </x:c>
      <x:c r="B28" s="9" t="str">
        <x:f>Demand!B28</x:f>
        <x:v>WH-2</x:v>
      </x:c>
      <x:c r="C28" s="9" t="str">
        <x:f>Demand!C28</x:f>
        <x:v>DEMO-03</x:v>
      </x:c>
      <x:c r="D28" s="12" t="n">
        <x:f>K20</x:f>
        <x:v>8032</x:v>
      </x:c>
      <x:c r="E28" s="12" t="n">
        <x:f>MAX(Demand!D28,Demand!E28)</x:f>
        <x:v>11984</x:v>
      </x:c>
      <x:c r="F28" s="12" t="n">
        <x:f>Demand!F28</x:f>
        <x:v>0</x:v>
      </x:c>
      <x:c r="G28" s="12" t="n">
        <x:f>IF(Inputs!K12="MTO",0,ROUNDUP(E28*Inputs!J12/4.33,0))</x:f>
        <x:v>8304</x:v>
      </x:c>
      <x:c r="H28" s="12" t="n">
        <x:f>MAX(0,E28+G28-D28-F28)</x:f>
        <x:v>12256</x:v>
      </x:c>
      <x:c r="I28" s="12" t="n">
        <x:f>Demand!G28</x:f>
        <x:v>0</x:v>
      </x:c>
      <x:c r="J28" s="12" t="n">
        <x:f>MAX(0,H28+I28)</x:f>
        <x:v>12256</x:v>
      </x:c>
      <x:c r="K28" s="12" t="n">
        <x:f>D28+F28+J28-E28</x:f>
        <x:v>8304</x:v>
      </x:c>
      <x:c r="L28" s="15" t="n">
        <x:f>IF(E28=0,0,K28/E28*4.33)</x:f>
        <x:v>3.0003604806408544</x:v>
      </x:c>
      <x:c r="M28" s="9" t="str">
        <x:f>IF(K28&lt;0,"SHORTAGE",IF(K28&lt;G28,"BELOW TARGET","ON TARGET"))</x:f>
        <x:v>ON TARGET</x:v>
      </x:c>
    </x:row>
    <x:row r="29" ht="25" customHeight="1">
      <x:c r="A29" s="11" t="n">
        <x:f>Demand!A29</x:f>
        <x:v>46447</x:v>
      </x:c>
      <x:c r="B29" s="9" t="str">
        <x:f>Demand!B29</x:f>
        <x:v>WH-1</x:v>
      </x:c>
      <x:c r="C29" s="9" t="str">
        <x:f>Demand!C29</x:f>
        <x:v>DEMO-04</x:v>
      </x:c>
      <x:c r="D29" s="12" t="n">
        <x:f>K21</x:f>
        <x:v>0</x:v>
      </x:c>
      <x:c r="E29" s="12" t="n">
        <x:f>MAX(Demand!D29,Demand!E29)</x:f>
        <x:v>11663</x:v>
      </x:c>
      <x:c r="F29" s="12" t="n">
        <x:f>Demand!F29</x:f>
        <x:v>0</x:v>
      </x:c>
      <x:c r="G29" s="12" t="n">
        <x:f>IF(Inputs!K13="MTO",0,ROUNDUP(E29*Inputs!J13/4.33,0))</x:f>
        <x:v>0</x:v>
      </x:c>
      <x:c r="H29" s="12" t="n">
        <x:f>MAX(0,E29+G29-D29-F29)</x:f>
        <x:v>11663</x:v>
      </x:c>
      <x:c r="I29" s="12" t="n">
        <x:f>Demand!G29</x:f>
        <x:v>0</x:v>
      </x:c>
      <x:c r="J29" s="12" t="n">
        <x:f>MAX(0,H29+I29)</x:f>
        <x:v>11663</x:v>
      </x:c>
      <x:c r="K29" s="12" t="n">
        <x:f>D29+F29+J29-E29</x:f>
        <x:v>0</x:v>
      </x:c>
      <x:c r="L29" s="15" t="n">
        <x:f>IF(E29=0,0,K29/E29*4.33)</x:f>
        <x:v>0</x:v>
      </x:c>
      <x:c r="M29" s="9" t="str">
        <x:f>IF(K29&lt;0,"SHORTAGE",IF(K29&lt;G29,"BELOW TARGET","ON TARGET"))</x:f>
        <x:v>ON TARGET</x:v>
      </x:c>
    </x:row>
    <x:row r="30" ht="25" customHeight="1">
      <x:c r="A30" s="11" t="n">
        <x:f>Demand!A30</x:f>
        <x:v>46447</x:v>
      </x:c>
      <x:c r="B30" s="9" t="str">
        <x:f>Demand!B30</x:f>
        <x:v>WH-2</x:v>
      </x:c>
      <x:c r="C30" s="9" t="str">
        <x:f>Demand!C30</x:f>
        <x:v>DEMO-04</x:v>
      </x:c>
      <x:c r="D30" s="12" t="n">
        <x:f>K22</x:f>
        <x:v>0</x:v>
      </x:c>
      <x:c r="E30" s="12" t="n">
        <x:f>MAX(Demand!D30,Demand!E30)</x:f>
        <x:v>13375</x:v>
      </x:c>
      <x:c r="F30" s="12" t="n">
        <x:f>Demand!F30</x:f>
        <x:v>0</x:v>
      </x:c>
      <x:c r="G30" s="12" t="n">
        <x:f>IF(Inputs!K14="MTO",0,ROUNDUP(E30*Inputs!J14/4.33,0))</x:f>
        <x:v>0</x:v>
      </x:c>
      <x:c r="H30" s="12" t="n">
        <x:f>MAX(0,E30+G30-D30-F30)</x:f>
        <x:v>13375</x:v>
      </x:c>
      <x:c r="I30" s="12" t="n">
        <x:f>Demand!G30</x:f>
        <x:v>0</x:v>
      </x:c>
      <x:c r="J30" s="12" t="n">
        <x:f>MAX(0,H30+I30)</x:f>
        <x:v>13375</x:v>
      </x:c>
      <x:c r="K30" s="12" t="n">
        <x:f>D30+F30+J30-E30</x:f>
        <x:v>0</x:v>
      </x:c>
      <x:c r="L30" s="15" t="n">
        <x:f>IF(E30=0,0,K30/E30*4.33)</x:f>
        <x:v>0</x:v>
      </x:c>
      <x:c r="M30" s="9" t="str">
        <x:f>IF(K30&lt;0,"SHORTAGE",IF(K30&lt;G30,"BELOW TARGET","ON TARGET"))</x:f>
        <x:v>ON TARGET</x:v>
      </x:c>
    </x:row>
    <x:row r="31" ht="25" customHeight="1">
      <x:c r="A31" s="11" t="n">
        <x:f>Demand!A31</x:f>
        <x:v>46478</x:v>
      </x:c>
      <x:c r="B31" s="9" t="str">
        <x:f>Demand!B31</x:f>
        <x:v>WH-1</x:v>
      </x:c>
      <x:c r="C31" s="9" t="str">
        <x:f>Demand!C31</x:f>
        <x:v>DEMO-01</x:v>
      </x:c>
      <x:c r="D31" s="12" t="n">
        <x:f>K23</x:f>
        <x:v>5190</x:v>
      </x:c>
      <x:c r="E31" s="12" t="n">
        <x:f>MAX(Demand!D31,Demand!E31)</x:f>
        <x:v>7735</x:v>
      </x:c>
      <x:c r="F31" s="12" t="n">
        <x:f>Demand!F31</x:f>
        <x:v>0</x:v>
      </x:c>
      <x:c r="G31" s="12" t="n">
        <x:f>IF(Inputs!K7="MTO",0,ROUNDUP(E31*Inputs!J7/4.33,0))</x:f>
        <x:v>5360</x:v>
      </x:c>
      <x:c r="H31" s="12" t="n">
        <x:f>MAX(0,E31+G31-D31-F31)</x:f>
        <x:v>7905</x:v>
      </x:c>
      <x:c r="I31" s="12" t="n">
        <x:f>Demand!G31</x:f>
        <x:v>0</x:v>
      </x:c>
      <x:c r="J31" s="12" t="n">
        <x:f>MAX(0,H31+I31)</x:f>
        <x:v>7905</x:v>
      </x:c>
      <x:c r="K31" s="12" t="n">
        <x:f>D31+F31+J31-E31</x:f>
        <x:v>5360</x:v>
      </x:c>
      <x:c r="L31" s="15" t="n">
        <x:f>IF(E31=0,0,K31/E31*4.33)</x:f>
        <x:v>3.00049127343245</x:v>
      </x:c>
      <x:c r="M31" s="9" t="str">
        <x:f>IF(K31&lt;0,"SHORTAGE",IF(K31&lt;G31,"BELOW TARGET","ON TARGET"))</x:f>
        <x:v>ON TARGET</x:v>
      </x:c>
    </x:row>
    <x:row r="32" ht="25" customHeight="1">
      <x:c r="A32" s="11" t="n">
        <x:f>Demand!A32</x:f>
        <x:v>46478</x:v>
      </x:c>
      <x:c r="B32" s="9" t="str">
        <x:f>Demand!B32</x:f>
        <x:v>WH-2</x:v>
      </x:c>
      <x:c r="C32" s="9" t="str">
        <x:f>Demand!C32</x:f>
        <x:v>DEMO-01</x:v>
      </x:c>
      <x:c r="D32" s="12" t="n">
        <x:f>K24</x:f>
        <x:v>6376</x:v>
      </x:c>
      <x:c r="E32" s="12" t="n">
        <x:f>MAX(Demand!D32,Demand!E32)</x:f>
        <x:v>9503</x:v>
      </x:c>
      <x:c r="F32" s="12" t="n">
        <x:f>Demand!F32</x:f>
        <x:v>0</x:v>
      </x:c>
      <x:c r="G32" s="12" t="n">
        <x:f>IF(Inputs!K8="MTO",0,ROUNDUP(E32*Inputs!J8/4.33,0))</x:f>
        <x:v>6585</x:v>
      </x:c>
      <x:c r="H32" s="12" t="n">
        <x:f>MAX(0,E32+G32-D32-F32)</x:f>
        <x:v>9712</x:v>
      </x:c>
      <x:c r="I32" s="12" t="n">
        <x:f>Demand!G32</x:f>
        <x:v>0</x:v>
      </x:c>
      <x:c r="J32" s="12" t="n">
        <x:f>MAX(0,H32+I32)</x:f>
        <x:v>9712</x:v>
      </x:c>
      <x:c r="K32" s="12" t="n">
        <x:f>D32+F32+J32-E32</x:f>
        <x:v>6585</x:v>
      </x:c>
      <x:c r="L32" s="15" t="n">
        <x:f>IF(E32=0,0,K32/E32*4.33)</x:f>
        <x:v>3.000426181205935</x:v>
      </x:c>
      <x:c r="M32" s="9" t="str">
        <x:f>IF(K32&lt;0,"SHORTAGE",IF(K32&lt;G32,"BELOW TARGET","ON TARGET"))</x:f>
        <x:v>ON TARGET</x:v>
      </x:c>
    </x:row>
    <x:row r="33" ht="25" customHeight="1">
      <x:c r="A33" s="11" t="n">
        <x:f>Demand!A33</x:f>
        <x:v>46478</x:v>
      </x:c>
      <x:c r="B33" s="9" t="str">
        <x:f>Demand!B33</x:f>
        <x:v>WH-1</x:v>
      </x:c>
      <x:c r="C33" s="9" t="str">
        <x:f>Demand!C33</x:f>
        <x:v>DEMO-02</x:v>
      </x:c>
      <x:c r="D33" s="12" t="n">
        <x:f>K25</x:f>
        <x:v>6154</x:v>
      </x:c>
      <x:c r="E33" s="12" t="n">
        <x:f>MAX(Demand!D33,Demand!E33)</x:f>
        <x:v>9172</x:v>
      </x:c>
      <x:c r="F33" s="12" t="n">
        <x:f>Demand!F33</x:f>
        <x:v>0</x:v>
      </x:c>
      <x:c r="G33" s="12" t="n">
        <x:f>IF(Inputs!K9="MTO",0,ROUNDUP(E33*Inputs!J9/4.33,0))</x:f>
        <x:v>6355</x:v>
      </x:c>
      <x:c r="H33" s="12" t="n">
        <x:f>MAX(0,E33+G33-D33-F33)</x:f>
        <x:v>9373</x:v>
      </x:c>
      <x:c r="I33" s="12" t="n">
        <x:f>Demand!G33</x:f>
        <x:v>0</x:v>
      </x:c>
      <x:c r="J33" s="12" t="n">
        <x:f>MAX(0,H33+I33)</x:f>
        <x:v>9373</x:v>
      </x:c>
      <x:c r="K33" s="12" t="n">
        <x:f>D33+F33+J33-E33</x:f>
        <x:v>6355</x:v>
      </x:c>
      <x:c r="L33" s="15" t="n">
        <x:f>IF(E33=0,0,K33/E33*4.33)</x:f>
        <x:v>3.000125381596162</x:v>
      </x:c>
      <x:c r="M33" s="9" t="str">
        <x:f>IF(K33&lt;0,"SHORTAGE",IF(K33&lt;G33,"BELOW TARGET","ON TARGET"))</x:f>
        <x:v>ON TARGET</x:v>
      </x:c>
    </x:row>
    <x:row r="34" ht="25" customHeight="1">
      <x:c r="A34" s="11" t="n">
        <x:f>Demand!A34</x:f>
        <x:v>46478</x:v>
      </x:c>
      <x:c r="B34" s="9" t="str">
        <x:f>Demand!B34</x:f>
        <x:v>WH-2</x:v>
      </x:c>
      <x:c r="C34" s="9" t="str">
        <x:f>Demand!C34</x:f>
        <x:v>DEMO-02</x:v>
      </x:c>
      <x:c r="D34" s="12" t="n">
        <x:f>K26</x:f>
        <x:v>7340</x:v>
      </x:c>
      <x:c r="E34" s="12" t="n">
        <x:f>MAX(Demand!D34,Demand!E34)</x:f>
        <x:v>10940</x:v>
      </x:c>
      <x:c r="F34" s="12" t="n">
        <x:f>Demand!F34</x:f>
        <x:v>0</x:v>
      </x:c>
      <x:c r="G34" s="12" t="n">
        <x:f>IF(Inputs!K10="MTO",0,ROUNDUP(E34*Inputs!J10/4.33,0))</x:f>
        <x:v>7580</x:v>
      </x:c>
      <x:c r="H34" s="12" t="n">
        <x:f>MAX(0,E34+G34-D34-F34)</x:f>
        <x:v>11180</x:v>
      </x:c>
      <x:c r="I34" s="12" t="n">
        <x:f>Demand!G34</x:f>
        <x:v>0</x:v>
      </x:c>
      <x:c r="J34" s="12" t="n">
        <x:f>MAX(0,H34+I34)</x:f>
        <x:v>11180</x:v>
      </x:c>
      <x:c r="K34" s="12" t="n">
        <x:f>D34+F34+J34-E34</x:f>
        <x:v>7580</x:v>
      </x:c>
      <x:c r="L34" s="15" t="n">
        <x:f>IF(E34=0,0,K34/E34*4.33)</x:f>
        <x:v>3.000127970749543</x:v>
      </x:c>
      <x:c r="M34" s="9" t="str">
        <x:f>IF(K34&lt;0,"SHORTAGE",IF(K34&lt;G34,"BELOW TARGET","ON TARGET"))</x:f>
        <x:v>ON TARGET</x:v>
      </x:c>
    </x:row>
    <x:row r="35" ht="25" customHeight="1">
      <x:c r="A35" s="11" t="n">
        <x:f>Demand!A35</x:f>
        <x:v>46478</x:v>
      </x:c>
      <x:c r="B35" s="9" t="str">
        <x:f>Demand!B35</x:f>
        <x:v>WH-1</x:v>
      </x:c>
      <x:c r="C35" s="9" t="str">
        <x:f>Demand!C35</x:f>
        <x:v>DEMO-03</x:v>
      </x:c>
      <x:c r="D35" s="12" t="n">
        <x:f>K27</x:f>
        <x:v>7117</x:v>
      </x:c>
      <x:c r="E35" s="12" t="n">
        <x:f>MAX(Demand!D35,Demand!E35)</x:f>
        <x:v>10608</x:v>
      </x:c>
      <x:c r="F35" s="12" t="n">
        <x:f>Demand!F35</x:f>
        <x:v>0</x:v>
      </x:c>
      <x:c r="G35" s="12" t="n">
        <x:f>IF(Inputs!K11="MTO",0,ROUNDUP(E35*Inputs!J11/4.33,0))</x:f>
        <x:v>7350</x:v>
      </x:c>
      <x:c r="H35" s="12" t="n">
        <x:f>MAX(0,E35+G35-D35-F35)</x:f>
        <x:v>10841</x:v>
      </x:c>
      <x:c r="I35" s="12" t="n">
        <x:f>Demand!G35</x:f>
        <x:v>0</x:v>
      </x:c>
      <x:c r="J35" s="12" t="n">
        <x:f>MAX(0,H35+I35)</x:f>
        <x:v>10841</x:v>
      </x:c>
      <x:c r="K35" s="12" t="n">
        <x:f>D35+F35+J35-E35</x:f>
        <x:v>7350</x:v>
      </x:c>
      <x:c r="L35" s="15" t="n">
        <x:f>IF(E35=0,0,K35/E35*4.33)</x:f>
        <x:v>3.0001414027149322</x:v>
      </x:c>
      <x:c r="M35" s="9" t="str">
        <x:f>IF(K35&lt;0,"SHORTAGE",IF(K35&lt;G35,"BELOW TARGET","ON TARGET"))</x:f>
        <x:v>ON TARGET</x:v>
      </x:c>
    </x:row>
    <x:row r="36" ht="25" customHeight="1">
      <x:c r="A36" s="11" t="n">
        <x:f>Demand!A36</x:f>
        <x:v>46478</x:v>
      </x:c>
      <x:c r="B36" s="9" t="str">
        <x:f>Demand!B36</x:f>
        <x:v>WH-2</x:v>
      </x:c>
      <x:c r="C36" s="9" t="str">
        <x:f>Demand!C36</x:f>
        <x:v>DEMO-03</x:v>
      </x:c>
      <x:c r="D36" s="12" t="n">
        <x:f>K28</x:f>
        <x:v>8304</x:v>
      </x:c>
      <x:c r="E36" s="12" t="n">
        <x:f>MAX(Demand!D36,Demand!E36)</x:f>
        <x:v>12376</x:v>
      </x:c>
      <x:c r="F36" s="12" t="n">
        <x:f>Demand!F36</x:f>
        <x:v>0</x:v>
      </x:c>
      <x:c r="G36" s="12" t="n">
        <x:f>IF(Inputs!K12="MTO",0,ROUNDUP(E36*Inputs!J12/4.33,0))</x:f>
        <x:v>8575</x:v>
      </x:c>
      <x:c r="H36" s="12" t="n">
        <x:f>MAX(0,E36+G36-D36-F36)</x:f>
        <x:v>12647</x:v>
      </x:c>
      <x:c r="I36" s="12" t="n">
        <x:f>Demand!G36</x:f>
        <x:v>0</x:v>
      </x:c>
      <x:c r="J36" s="12" t="n">
        <x:f>MAX(0,H36+I36)</x:f>
        <x:v>12647</x:v>
      </x:c>
      <x:c r="K36" s="12" t="n">
        <x:f>D36+F36+J36-E36</x:f>
        <x:v>8575</x:v>
      </x:c>
      <x:c r="L36" s="15" t="n">
        <x:f>IF(E36=0,0,K36/E36*4.33)</x:f>
        <x:v>3.0001414027149322</x:v>
      </x:c>
      <x:c r="M36" s="9" t="str">
        <x:f>IF(K36&lt;0,"SHORTAGE",IF(K36&lt;G36,"BELOW TARGET","ON TARGET"))</x:f>
        <x:v>ON TARGET</x:v>
      </x:c>
    </x:row>
    <x:row r="37" ht="25" customHeight="1">
      <x:c r="A37" s="11" t="n">
        <x:f>Demand!A37</x:f>
        <x:v>46478</x:v>
      </x:c>
      <x:c r="B37" s="9" t="str">
        <x:f>Demand!B37</x:f>
        <x:v>WH-1</x:v>
      </x:c>
      <x:c r="C37" s="9" t="str">
        <x:f>Demand!C37</x:f>
        <x:v>DEMO-04</x:v>
      </x:c>
      <x:c r="D37" s="12" t="n">
        <x:f>K29</x:f>
        <x:v>0</x:v>
      </x:c>
      <x:c r="E37" s="12" t="n">
        <x:f>MAX(Demand!D37,Demand!E37)</x:f>
        <x:v>12045</x:v>
      </x:c>
      <x:c r="F37" s="12" t="n">
        <x:f>Demand!F37</x:f>
        <x:v>0</x:v>
      </x:c>
      <x:c r="G37" s="12" t="n">
        <x:f>IF(Inputs!K13="MTO",0,ROUNDUP(E37*Inputs!J13/4.33,0))</x:f>
        <x:v>0</x:v>
      </x:c>
      <x:c r="H37" s="12" t="n">
        <x:f>MAX(0,E37+G37-D37-F37)</x:f>
        <x:v>12045</x:v>
      </x:c>
      <x:c r="I37" s="12" t="n">
        <x:f>Demand!G37</x:f>
        <x:v>0</x:v>
      </x:c>
      <x:c r="J37" s="12" t="n">
        <x:f>MAX(0,H37+I37)</x:f>
        <x:v>12045</x:v>
      </x:c>
      <x:c r="K37" s="12" t="n">
        <x:f>D37+F37+J37-E37</x:f>
        <x:v>0</x:v>
      </x:c>
      <x:c r="L37" s="15" t="n">
        <x:f>IF(E37=0,0,K37/E37*4.33)</x:f>
        <x:v>0</x:v>
      </x:c>
      <x:c r="M37" s="9" t="str">
        <x:f>IF(K37&lt;0,"SHORTAGE",IF(K37&lt;G37,"BELOW TARGET","ON TARGET"))</x:f>
        <x:v>ON TARGET</x:v>
      </x:c>
    </x:row>
    <x:row r="38" ht="25" customHeight="1">
      <x:c r="A38" s="11" t="n">
        <x:f>Demand!A38</x:f>
        <x:v>46478</x:v>
      </x:c>
      <x:c r="B38" s="9" t="str">
        <x:f>Demand!B38</x:f>
        <x:v>WH-2</x:v>
      </x:c>
      <x:c r="C38" s="9" t="str">
        <x:f>Demand!C38</x:f>
        <x:v>DEMO-04</x:v>
      </x:c>
      <x:c r="D38" s="12" t="n">
        <x:f>K30</x:f>
        <x:v>0</x:v>
      </x:c>
      <x:c r="E38" s="12" t="n">
        <x:f>MAX(Demand!D38,Demand!E38)</x:f>
        <x:v>13813</x:v>
      </x:c>
      <x:c r="F38" s="12" t="n">
        <x:f>Demand!F38</x:f>
        <x:v>0</x:v>
      </x:c>
      <x:c r="G38" s="12" t="n">
        <x:f>IF(Inputs!K14="MTO",0,ROUNDUP(E38*Inputs!J14/4.33,0))</x:f>
        <x:v>0</x:v>
      </x:c>
      <x:c r="H38" s="12" t="n">
        <x:f>MAX(0,E38+G38-D38-F38)</x:f>
        <x:v>13813</x:v>
      </x:c>
      <x:c r="I38" s="12" t="n">
        <x:f>Demand!G38</x:f>
        <x:v>0</x:v>
      </x:c>
      <x:c r="J38" s="12" t="n">
        <x:f>MAX(0,H38+I38)</x:f>
        <x:v>13813</x:v>
      </x:c>
      <x:c r="K38" s="12" t="n">
        <x:f>D38+F38+J38-E38</x:f>
        <x:v>0</x:v>
      </x:c>
      <x:c r="L38" s="15" t="n">
        <x:f>IF(E38=0,0,K38/E38*4.33)</x:f>
        <x:v>0</x:v>
      </x:c>
      <x:c r="M38" s="9" t="str">
        <x:f>IF(K38&lt;0,"SHORTAGE",IF(K38&lt;G38,"BELOW TARGET","ON TARGET"))</x:f>
        <x:v>ON TARGET</x:v>
      </x:c>
    </x:row>
    <x:row r="39" ht="25" customHeight="1">
      <x:c r="A39" s="11" t="n">
        <x:f>Demand!A39</x:f>
        <x:v>46508</x:v>
      </x:c>
      <x:c r="B39" s="9" t="str">
        <x:f>Demand!B39</x:f>
        <x:v>WH-1</x:v>
      </x:c>
      <x:c r="C39" s="9" t="str">
        <x:f>Demand!C39</x:f>
        <x:v>DEMO-01</x:v>
      </x:c>
      <x:c r="D39" s="12" t="n">
        <x:f>K31</x:f>
        <x:v>5360</x:v>
      </x:c>
      <x:c r="E39" s="12" t="n">
        <x:f>MAX(Demand!D39,Demand!E39)</x:f>
        <x:v>7980</x:v>
      </x:c>
      <x:c r="F39" s="12" t="n">
        <x:f>Demand!F39</x:f>
        <x:v>0</x:v>
      </x:c>
      <x:c r="G39" s="12" t="n">
        <x:f>IF(Inputs!K7="MTO",0,ROUNDUP(E39*Inputs!J7/4.33,0))</x:f>
        <x:v>5529</x:v>
      </x:c>
      <x:c r="H39" s="12" t="n">
        <x:f>MAX(0,E39+G39-D39-F39)</x:f>
        <x:v>8149</x:v>
      </x:c>
      <x:c r="I39" s="12" t="n">
        <x:f>Demand!G39</x:f>
        <x:v>0</x:v>
      </x:c>
      <x:c r="J39" s="12" t="n">
        <x:f>MAX(0,H39+I39)</x:f>
        <x:v>8149</x:v>
      </x:c>
      <x:c r="K39" s="12" t="n">
        <x:f>D39+F39+J39-E39</x:f>
        <x:v>5529</x:v>
      </x:c>
      <x:c r="L39" s="15" t="n">
        <x:f>IF(E39=0,0,K39/E39*4.33)</x:f>
        <x:v>3.0000714285714287</x:v>
      </x:c>
      <x:c r="M39" s="9" t="str">
        <x:f>IF(K39&lt;0,"SHORTAGE",IF(K39&lt;G39,"BELOW TARGET","ON TARGET"))</x:f>
        <x:v>ON TARGET</x:v>
      </x:c>
    </x:row>
    <x:row r="40" ht="25" customHeight="1">
      <x:c r="A40" s="11" t="n">
        <x:f>Demand!A40</x:f>
        <x:v>46508</x:v>
      </x:c>
      <x:c r="B40" s="9" t="str">
        <x:f>Demand!B40</x:f>
        <x:v>WH-2</x:v>
      </x:c>
      <x:c r="C40" s="9" t="str">
        <x:f>Demand!C40</x:f>
        <x:v>DEMO-01</x:v>
      </x:c>
      <x:c r="D40" s="12" t="n">
        <x:f>K32</x:f>
        <x:v>6585</x:v>
      </x:c>
      <x:c r="E40" s="12" t="n">
        <x:f>MAX(Demand!D40,Demand!E40)</x:f>
        <x:v>9804</x:v>
      </x:c>
      <x:c r="F40" s="12" t="n">
        <x:f>Demand!F40</x:f>
        <x:v>0</x:v>
      </x:c>
      <x:c r="G40" s="12" t="n">
        <x:f>IF(Inputs!K8="MTO",0,ROUNDUP(E40*Inputs!J8/4.33,0))</x:f>
        <x:v>6793</x:v>
      </x:c>
      <x:c r="H40" s="12" t="n">
        <x:f>MAX(0,E40+G40-D40-F40)</x:f>
        <x:v>10012</x:v>
      </x:c>
      <x:c r="I40" s="12" t="n">
        <x:f>Demand!G40</x:f>
        <x:v>0</x:v>
      </x:c>
      <x:c r="J40" s="12" t="n">
        <x:f>MAX(0,H40+I40)</x:f>
        <x:v>10012</x:v>
      </x:c>
      <x:c r="K40" s="12" t="n">
        <x:f>D40+F40+J40-E40</x:f>
        <x:v>6793</x:v>
      </x:c>
      <x:c r="L40" s="15" t="n">
        <x:f>IF(E40=0,0,K40/E40*4.33)</x:f>
        <x:v>3.000172378620971</x:v>
      </x:c>
      <x:c r="M40" s="9" t="str">
        <x:f>IF(K40&lt;0,"SHORTAGE",IF(K40&lt;G40,"BELOW TARGET","ON TARGET"))</x:f>
        <x:v>ON TARGET</x:v>
      </x:c>
    </x:row>
    <x:row r="41" ht="25" customHeight="1">
      <x:c r="A41" s="11" t="n">
        <x:f>Demand!A41</x:f>
        <x:v>46508</x:v>
      </x:c>
      <x:c r="B41" s="9" t="str">
        <x:f>Demand!B41</x:f>
        <x:v>WH-1</x:v>
      </x:c>
      <x:c r="C41" s="9" t="str">
        <x:f>Demand!C41</x:f>
        <x:v>DEMO-02</x:v>
      </x:c>
      <x:c r="D41" s="12" t="n">
        <x:f>K33</x:f>
        <x:v>6355</x:v>
      </x:c>
      <x:c r="E41" s="12" t="n">
        <x:f>MAX(Demand!D41,Demand!E41)</x:f>
        <x:v>9462</x:v>
      </x:c>
      <x:c r="F41" s="12" t="n">
        <x:f>Demand!F41</x:f>
        <x:v>0</x:v>
      </x:c>
      <x:c r="G41" s="12" t="n">
        <x:f>IF(Inputs!K9="MTO",0,ROUNDUP(E41*Inputs!J9/4.33,0))</x:f>
        <x:v>6556</x:v>
      </x:c>
      <x:c r="H41" s="12" t="n">
        <x:f>MAX(0,E41+G41-D41-F41)</x:f>
        <x:v>9663</x:v>
      </x:c>
      <x:c r="I41" s="12" t="n">
        <x:f>Demand!G41</x:f>
        <x:v>0</x:v>
      </x:c>
      <x:c r="J41" s="12" t="n">
        <x:f>MAX(0,H41+I41)</x:f>
        <x:v>9663</x:v>
      </x:c>
      <x:c r="K41" s="12" t="n">
        <x:f>D41+F41+J41-E41</x:f>
        <x:v>6556</x:v>
      </x:c>
      <x:c r="L41" s="15" t="n">
        <x:f>IF(E41=0,0,K41/E41*4.33)</x:f>
        <x:v>3.0001564151342213</x:v>
      </x:c>
      <x:c r="M41" s="9" t="str">
        <x:f>IF(K41&lt;0,"SHORTAGE",IF(K41&lt;G41,"BELOW TARGET","ON TARGET"))</x:f>
        <x:v>ON TARGET</x:v>
      </x:c>
    </x:row>
    <x:row r="42" ht="25" customHeight="1">
      <x:c r="A42" s="11" t="n">
        <x:f>Demand!A42</x:f>
        <x:v>46508</x:v>
      </x:c>
      <x:c r="B42" s="9" t="str">
        <x:f>Demand!B42</x:f>
        <x:v>WH-2</x:v>
      </x:c>
      <x:c r="C42" s="9" t="str">
        <x:f>Demand!C42</x:f>
        <x:v>DEMO-02</x:v>
      </x:c>
      <x:c r="D42" s="12" t="n">
        <x:f>K34</x:f>
        <x:v>7580</x:v>
      </x:c>
      <x:c r="E42" s="12" t="n">
        <x:f>MAX(Demand!D42,Demand!E42)</x:f>
        <x:v>11286</x:v>
      </x:c>
      <x:c r="F42" s="12" t="n">
        <x:f>Demand!F42</x:f>
        <x:v>0</x:v>
      </x:c>
      <x:c r="G42" s="12" t="n">
        <x:f>IF(Inputs!K10="MTO",0,ROUNDUP(E42*Inputs!J10/4.33,0))</x:f>
        <x:v>7820</x:v>
      </x:c>
      <x:c r="H42" s="12" t="n">
        <x:f>MAX(0,E42+G42-D42-F42)</x:f>
        <x:v>11526</x:v>
      </x:c>
      <x:c r="I42" s="12" t="n">
        <x:f>Demand!G42</x:f>
        <x:v>0</x:v>
      </x:c>
      <x:c r="J42" s="12" t="n">
        <x:f>MAX(0,H42+I42)</x:f>
        <x:v>11526</x:v>
      </x:c>
      <x:c r="K42" s="12" t="n">
        <x:f>D42+F42+J42-E42</x:f>
        <x:v>7820</x:v>
      </x:c>
      <x:c r="L42" s="15" t="n">
        <x:f>IF(E42=0,0,K42/E42*4.33)</x:f>
        <x:v>3.000230373914585</x:v>
      </x:c>
      <x:c r="M42" s="9" t="str">
        <x:f>IF(K42&lt;0,"SHORTAGE",IF(K42&lt;G42,"BELOW TARGET","ON TARGET"))</x:f>
        <x:v>ON TARGET</x:v>
      </x:c>
    </x:row>
    <x:row r="43" ht="25" customHeight="1">
      <x:c r="A43" s="11" t="n">
        <x:f>Demand!A43</x:f>
        <x:v>46508</x:v>
      </x:c>
      <x:c r="B43" s="9" t="str">
        <x:f>Demand!B43</x:f>
        <x:v>WH-1</x:v>
      </x:c>
      <x:c r="C43" s="9" t="str">
        <x:f>Demand!C43</x:f>
        <x:v>DEMO-03</x:v>
      </x:c>
      <x:c r="D43" s="12" t="n">
        <x:f>K35</x:f>
        <x:v>7350</x:v>
      </x:c>
      <x:c r="E43" s="12" t="n">
        <x:f>MAX(Demand!D43,Demand!E43)</x:f>
        <x:v>10944</x:v>
      </x:c>
      <x:c r="F43" s="12" t="n">
        <x:f>Demand!F43</x:f>
        <x:v>0</x:v>
      </x:c>
      <x:c r="G43" s="12" t="n">
        <x:f>IF(Inputs!K11="MTO",0,ROUNDUP(E43*Inputs!J11/4.33,0))</x:f>
        <x:v>7583</x:v>
      </x:c>
      <x:c r="H43" s="12" t="n">
        <x:f>MAX(0,E43+G43-D43-F43)</x:f>
        <x:v>11177</x:v>
      </x:c>
      <x:c r="I43" s="12" t="n">
        <x:f>Demand!G43</x:f>
        <x:v>0</x:v>
      </x:c>
      <x:c r="J43" s="12" t="n">
        <x:f>MAX(0,H43+I43)</x:f>
        <x:v>11177</x:v>
      </x:c>
      <x:c r="K43" s="12" t="n">
        <x:f>D43+F43+J43-E43</x:f>
        <x:v>7583</x:v>
      </x:c>
      <x:c r="L43" s="15" t="n">
        <x:f>IF(E43=0,0,K43/E43*4.33)</x:f>
        <x:v>3.000218384502924</x:v>
      </x:c>
      <x:c r="M43" s="9" t="str">
        <x:f>IF(K43&lt;0,"SHORTAGE",IF(K43&lt;G43,"BELOW TARGET","ON TARGET"))</x:f>
        <x:v>ON TARGET</x:v>
      </x:c>
    </x:row>
    <x:row r="44" ht="25" customHeight="1">
      <x:c r="A44" s="11" t="n">
        <x:f>Demand!A44</x:f>
        <x:v>46508</x:v>
      </x:c>
      <x:c r="B44" s="9" t="str">
        <x:f>Demand!B44</x:f>
        <x:v>WH-2</x:v>
      </x:c>
      <x:c r="C44" s="9" t="str">
        <x:f>Demand!C44</x:f>
        <x:v>DEMO-03</x:v>
      </x:c>
      <x:c r="D44" s="12" t="n">
        <x:f>K36</x:f>
        <x:v>8575</x:v>
      </x:c>
      <x:c r="E44" s="12" t="n">
        <x:f>MAX(Demand!D44,Demand!E44)</x:f>
        <x:v>12768</x:v>
      </x:c>
      <x:c r="F44" s="12" t="n">
        <x:f>Demand!F44</x:f>
        <x:v>0</x:v>
      </x:c>
      <x:c r="G44" s="12" t="n">
        <x:f>IF(Inputs!K12="MTO",0,ROUNDUP(E44*Inputs!J12/4.33,0))</x:f>
        <x:v>8847</x:v>
      </x:c>
      <x:c r="H44" s="12" t="n">
        <x:f>MAX(0,E44+G44-D44-F44)</x:f>
        <x:v>13040</x:v>
      </x:c>
      <x:c r="I44" s="12" t="n">
        <x:f>Demand!G44</x:f>
        <x:v>0</x:v>
      </x:c>
      <x:c r="J44" s="12" t="n">
        <x:f>MAX(0,H44+I44)</x:f>
        <x:v>13040</x:v>
      </x:c>
      <x:c r="K44" s="12" t="n">
        <x:f>D44+F44+J44-E44</x:f>
        <x:v>8847</x:v>
      </x:c>
      <x:c r="L44" s="15" t="n">
        <x:f>IF(E44=0,0,K44/E44*4.33)</x:f>
        <x:v>3.0002749060150373</x:v>
      </x:c>
      <x:c r="M44" s="9" t="str">
        <x:f>IF(K44&lt;0,"SHORTAGE",IF(K44&lt;G44,"BELOW TARGET","ON TARGET"))</x:f>
        <x:v>ON TARGET</x:v>
      </x:c>
    </x:row>
    <x:row r="45" ht="25" customHeight="1">
      <x:c r="A45" s="11" t="n">
        <x:f>Demand!A45</x:f>
        <x:v>46508</x:v>
      </x:c>
      <x:c r="B45" s="9" t="str">
        <x:f>Demand!B45</x:f>
        <x:v>WH-1</x:v>
      </x:c>
      <x:c r="C45" s="9" t="str">
        <x:f>Demand!C45</x:f>
        <x:v>DEMO-04</x:v>
      </x:c>
      <x:c r="D45" s="12" t="n">
        <x:f>K37</x:f>
        <x:v>0</x:v>
      </x:c>
      <x:c r="E45" s="12" t="n">
        <x:f>MAX(Demand!D45,Demand!E45)</x:f>
        <x:v>12426</x:v>
      </x:c>
      <x:c r="F45" s="12" t="n">
        <x:f>Demand!F45</x:f>
        <x:v>0</x:v>
      </x:c>
      <x:c r="G45" s="12" t="n">
        <x:f>IF(Inputs!K13="MTO",0,ROUNDUP(E45*Inputs!J13/4.33,0))</x:f>
        <x:v>0</x:v>
      </x:c>
      <x:c r="H45" s="12" t="n">
        <x:f>MAX(0,E45+G45-D45-F45)</x:f>
        <x:v>12426</x:v>
      </x:c>
      <x:c r="I45" s="12" t="n">
        <x:f>Demand!G45</x:f>
        <x:v>0</x:v>
      </x:c>
      <x:c r="J45" s="12" t="n">
        <x:f>MAX(0,H45+I45)</x:f>
        <x:v>12426</x:v>
      </x:c>
      <x:c r="K45" s="12" t="n">
        <x:f>D45+F45+J45-E45</x:f>
        <x:v>0</x:v>
      </x:c>
      <x:c r="L45" s="15" t="n">
        <x:f>IF(E45=0,0,K45/E45*4.33)</x:f>
        <x:v>0</x:v>
      </x:c>
      <x:c r="M45" s="9" t="str">
        <x:f>IF(K45&lt;0,"SHORTAGE",IF(K45&lt;G45,"BELOW TARGET","ON TARGET"))</x:f>
        <x:v>ON TARGET</x:v>
      </x:c>
    </x:row>
    <x:row r="46" ht="25" customHeight="1">
      <x:c r="A46" s="11" t="n">
        <x:f>Demand!A46</x:f>
        <x:v>46508</x:v>
      </x:c>
      <x:c r="B46" s="9" t="str">
        <x:f>Demand!B46</x:f>
        <x:v>WH-2</x:v>
      </x:c>
      <x:c r="C46" s="9" t="str">
        <x:f>Demand!C46</x:f>
        <x:v>DEMO-04</x:v>
      </x:c>
      <x:c r="D46" s="12" t="n">
        <x:f>K38</x:f>
        <x:v>0</x:v>
      </x:c>
      <x:c r="E46" s="12" t="n">
        <x:f>MAX(Demand!D46,Demand!E46)</x:f>
        <x:v>14250</x:v>
      </x:c>
      <x:c r="F46" s="12" t="n">
        <x:f>Demand!F46</x:f>
        <x:v>0</x:v>
      </x:c>
      <x:c r="G46" s="12" t="n">
        <x:f>IF(Inputs!K14="MTO",0,ROUNDUP(E46*Inputs!J14/4.33,0))</x:f>
        <x:v>0</x:v>
      </x:c>
      <x:c r="H46" s="12" t="n">
        <x:f>MAX(0,E46+G46-D46-F46)</x:f>
        <x:v>14250</x:v>
      </x:c>
      <x:c r="I46" s="12" t="n">
        <x:f>Demand!G46</x:f>
        <x:v>0</x:v>
      </x:c>
      <x:c r="J46" s="12" t="n">
        <x:f>MAX(0,H46+I46)</x:f>
        <x:v>14250</x:v>
      </x:c>
      <x:c r="K46" s="12" t="n">
        <x:f>D46+F46+J46-E46</x:f>
        <x:v>0</x:v>
      </x:c>
      <x:c r="L46" s="15" t="n">
        <x:f>IF(E46=0,0,K46/E46*4.33)</x:f>
        <x:v>0</x:v>
      </x:c>
      <x:c r="M46" s="9" t="str">
        <x:f>IF(K46&lt;0,"SHORTAGE",IF(K46&lt;G46,"BELOW TARGET","ON TARGET"))</x:f>
        <x:v>ON TARGET</x:v>
      </x:c>
    </x:row>
    <x:row r="47" ht="25" customHeight="1">
      <x:c r="A47" s="11" t="n">
        <x:f>Demand!A47</x:f>
        <x:v>46539</x:v>
      </x:c>
      <x:c r="B47" s="9" t="str">
        <x:f>Demand!B47</x:f>
        <x:v>WH-1</x:v>
      </x:c>
      <x:c r="C47" s="9" t="str">
        <x:f>Demand!C47</x:f>
        <x:v>DEMO-01</x:v>
      </x:c>
      <x:c r="D47" s="12" t="n">
        <x:f>K39</x:f>
        <x:v>5529</x:v>
      </x:c>
      <x:c r="E47" s="12" t="n">
        <x:f>MAX(Demand!D47,Demand!E47)</x:f>
        <x:v>10675</x:v>
      </x:c>
      <x:c r="F47" s="12" t="n">
        <x:f>Demand!F47</x:f>
        <x:v>0</x:v>
      </x:c>
      <x:c r="G47" s="12" t="n">
        <x:f>IF(Inputs!K7="MTO",0,ROUNDUP(E47*Inputs!J7/4.33,0))</x:f>
        <x:v>7397</x:v>
      </x:c>
      <x:c r="H47" s="12" t="n">
        <x:f>MAX(0,E47+G47-D47-F47)</x:f>
        <x:v>12543</x:v>
      </x:c>
      <x:c r="I47" s="12" t="n">
        <x:f>Demand!G47</x:f>
        <x:v>0</x:v>
      </x:c>
      <x:c r="J47" s="12" t="n">
        <x:f>MAX(0,H47+I47)</x:f>
        <x:v>12543</x:v>
      </x:c>
      <x:c r="K47" s="12" t="n">
        <x:f>D47+F47+J47-E47</x:f>
        <x:v>7397</x:v>
      </x:c>
      <x:c r="L47" s="15" t="n">
        <x:f>IF(E47=0,0,K47/E47*4.33)</x:f>
        <x:v>3.0003756440281033</x:v>
      </x:c>
      <x:c r="M47" s="9" t="str">
        <x:f>IF(K47&lt;0,"SHORTAGE",IF(K47&lt;G47,"BELOW TARGET","ON TARGET"))</x:f>
        <x:v>ON TARGET</x:v>
      </x:c>
    </x:row>
    <x:row r="48" ht="25" customHeight="1">
      <x:c r="A48" s="11" t="n">
        <x:f>Demand!A48</x:f>
        <x:v>46539</x:v>
      </x:c>
      <x:c r="B48" s="9" t="str">
        <x:f>Demand!B48</x:f>
        <x:v>WH-2</x:v>
      </x:c>
      <x:c r="C48" s="9" t="str">
        <x:f>Demand!C48</x:f>
        <x:v>DEMO-01</x:v>
      </x:c>
      <x:c r="D48" s="12" t="n">
        <x:f>K40</x:f>
        <x:v>6793</x:v>
      </x:c>
      <x:c r="E48" s="12" t="n">
        <x:f>MAX(Demand!D48,Demand!E48)</x:f>
        <x:v>13115</x:v>
      </x:c>
      <x:c r="F48" s="12" t="n">
        <x:f>Demand!F48</x:f>
        <x:v>0</x:v>
      </x:c>
      <x:c r="G48" s="12" t="n">
        <x:f>IF(Inputs!K8="MTO",0,ROUNDUP(E48*Inputs!J8/4.33,0))</x:f>
        <x:v>9087</x:v>
      </x:c>
      <x:c r="H48" s="12" t="n">
        <x:f>MAX(0,E48+G48-D48-F48)</x:f>
        <x:v>15409</x:v>
      </x:c>
      <x:c r="I48" s="12" t="n">
        <x:f>Demand!G48</x:f>
        <x:v>0</x:v>
      </x:c>
      <x:c r="J48" s="12" t="n">
        <x:f>MAX(0,H48+I48)</x:f>
        <x:v>15409</x:v>
      </x:c>
      <x:c r="K48" s="12" t="n">
        <x:f>D48+F48+J48-E48</x:f>
        <x:v>9087</x:v>
      </x:c>
      <x:c r="L48" s="15" t="n">
        <x:f>IF(E48=0,0,K48/E48*4.33)</x:f>
        <x:v>3.00013038505528</x:v>
      </x:c>
      <x:c r="M48" s="9" t="str">
        <x:f>IF(K48&lt;0,"SHORTAGE",IF(K48&lt;G48,"BELOW TARGET","ON TARGET"))</x:f>
        <x:v>ON TARGET</x:v>
      </x:c>
    </x:row>
    <x:row r="49" ht="25" customHeight="1">
      <x:c r="A49" s="11" t="n">
        <x:f>Demand!A49</x:f>
        <x:v>46539</x:v>
      </x:c>
      <x:c r="B49" s="9" t="str">
        <x:f>Demand!B49</x:f>
        <x:v>WH-1</x:v>
      </x:c>
      <x:c r="C49" s="9" t="str">
        <x:f>Demand!C49</x:f>
        <x:v>DEMO-02</x:v>
      </x:c>
      <x:c r="D49" s="12" t="n">
        <x:f>K41</x:f>
        <x:v>6556</x:v>
      </x:c>
      <x:c r="E49" s="12" t="n">
        <x:f>MAX(Demand!D49,Demand!E49)</x:f>
        <x:v>12658</x:v>
      </x:c>
      <x:c r="F49" s="12" t="n">
        <x:f>Demand!F49</x:f>
        <x:v>0</x:v>
      </x:c>
      <x:c r="G49" s="12" t="n">
        <x:f>IF(Inputs!K9="MTO",0,ROUNDUP(E49*Inputs!J9/4.33,0))</x:f>
        <x:v>8770</x:v>
      </x:c>
      <x:c r="H49" s="12" t="n">
        <x:f>MAX(0,E49+G49-D49-F49)</x:f>
        <x:v>14872</x:v>
      </x:c>
      <x:c r="I49" s="12" t="n">
        <x:f>Demand!G49</x:f>
        <x:v>0</x:v>
      </x:c>
      <x:c r="J49" s="12" t="n">
        <x:f>MAX(0,H49+I49)</x:f>
        <x:v>14872</x:v>
      </x:c>
      <x:c r="K49" s="12" t="n">
        <x:f>D49+F49+J49-E49</x:f>
        <x:v>8770</x:v>
      </x:c>
      <x:c r="L49" s="15" t="n">
        <x:f>IF(E49=0,0,K49/E49*4.33)</x:f>
        <x:v>3.0000079001422026</x:v>
      </x:c>
      <x:c r="M49" s="9" t="str">
        <x:f>IF(K49&lt;0,"SHORTAGE",IF(K49&lt;G49,"BELOW TARGET","ON TARGET"))</x:f>
        <x:v>ON TARGET</x:v>
      </x:c>
    </x:row>
    <x:row r="50" ht="25" customHeight="1">
      <x:c r="A50" s="11" t="n">
        <x:f>Demand!A50</x:f>
        <x:v>46539</x:v>
      </x:c>
      <x:c r="B50" s="9" t="str">
        <x:f>Demand!B50</x:f>
        <x:v>WH-2</x:v>
      </x:c>
      <x:c r="C50" s="9" t="str">
        <x:f>Demand!C50</x:f>
        <x:v>DEMO-02</x:v>
      </x:c>
      <x:c r="D50" s="12" t="n">
        <x:f>K42</x:f>
        <x:v>7820</x:v>
      </x:c>
      <x:c r="E50" s="12" t="n">
        <x:f>MAX(Demand!D50,Demand!E50)</x:f>
        <x:v>15098</x:v>
      </x:c>
      <x:c r="F50" s="12" t="n">
        <x:f>Demand!F50</x:f>
        <x:v>0</x:v>
      </x:c>
      <x:c r="G50" s="12" t="n">
        <x:f>IF(Inputs!K10="MTO",0,ROUNDUP(E50*Inputs!J10/4.33,0))</x:f>
        <x:v>10461</x:v>
      </x:c>
      <x:c r="H50" s="12" t="n">
        <x:f>MAX(0,E50+G50-D50-F50)</x:f>
        <x:v>17739</x:v>
      </x:c>
      <x:c r="I50" s="12" t="n">
        <x:f>Demand!G50</x:f>
        <x:v>0</x:v>
      </x:c>
      <x:c r="J50" s="12" t="n">
        <x:f>MAX(0,H50+I50)</x:f>
        <x:v>17739</x:v>
      </x:c>
      <x:c r="K50" s="12" t="n">
        <x:f>D50+F50+J50-E50</x:f>
        <x:v>10461</x:v>
      </x:c>
      <x:c r="L50" s="15" t="n">
        <x:f>IF(E50=0,0,K50/E50*4.33)</x:f>
        <x:v>3.000141078288515</x:v>
      </x:c>
      <x:c r="M50" s="9" t="str">
        <x:f>IF(K50&lt;0,"SHORTAGE",IF(K50&lt;G50,"BELOW TARGET","ON TARGET"))</x:f>
        <x:v>ON TARGET</x:v>
      </x:c>
    </x:row>
    <x:row r="51" ht="25" customHeight="1">
      <x:c r="A51" s="11" t="n">
        <x:f>Demand!A51</x:f>
        <x:v>46539</x:v>
      </x:c>
      <x:c r="B51" s="9" t="str">
        <x:f>Demand!B51</x:f>
        <x:v>WH-1</x:v>
      </x:c>
      <x:c r="C51" s="9" t="str">
        <x:f>Demand!C51</x:f>
        <x:v>DEMO-03</x:v>
      </x:c>
      <x:c r="D51" s="12" t="n">
        <x:f>K43</x:f>
        <x:v>7583</x:v>
      </x:c>
      <x:c r="E51" s="12" t="n">
        <x:f>MAX(Demand!D51,Demand!E51)</x:f>
        <x:v>14640</x:v>
      </x:c>
      <x:c r="F51" s="12" t="n">
        <x:f>Demand!F51</x:f>
        <x:v>0</x:v>
      </x:c>
      <x:c r="G51" s="12" t="n">
        <x:f>IF(Inputs!K11="MTO",0,ROUNDUP(E51*Inputs!J11/4.33,0))</x:f>
        <x:v>10144</x:v>
      </x:c>
      <x:c r="H51" s="12" t="n">
        <x:f>MAX(0,E51+G51-D51-F51)</x:f>
        <x:v>17201</x:v>
      </x:c>
      <x:c r="I51" s="12" t="n">
        <x:f>Demand!G51</x:f>
        <x:v>0</x:v>
      </x:c>
      <x:c r="J51" s="12" t="n">
        <x:f>MAX(0,H51+I51)</x:f>
        <x:v>17201</x:v>
      </x:c>
      <x:c r="K51" s="12" t="n">
        <x:f>D51+F51+J51-E51</x:f>
        <x:v>10144</x:v>
      </x:c>
      <x:c r="L51" s="15" t="n">
        <x:f>IF(E51=0,0,K51/E51*4.33)</x:f>
        <x:v>3.0002404371584697</x:v>
      </x:c>
      <x:c r="M51" s="9" t="str">
        <x:f>IF(K51&lt;0,"SHORTAGE",IF(K51&lt;G51,"BELOW TARGET","ON TARGET"))</x:f>
        <x:v>ON TARGET</x:v>
      </x:c>
    </x:row>
    <x:row r="52" ht="25" customHeight="1">
      <x:c r="A52" s="11" t="n">
        <x:f>Demand!A52</x:f>
        <x:v>46539</x:v>
      </x:c>
      <x:c r="B52" s="9" t="str">
        <x:f>Demand!B52</x:f>
        <x:v>WH-2</x:v>
      </x:c>
      <x:c r="C52" s="9" t="str">
        <x:f>Demand!C52</x:f>
        <x:v>DEMO-03</x:v>
      </x:c>
      <x:c r="D52" s="12" t="n">
        <x:f>K44</x:f>
        <x:v>8847</x:v>
      </x:c>
      <x:c r="E52" s="12" t="n">
        <x:f>MAX(Demand!D52,Demand!E52)</x:f>
        <x:v>17080</x:v>
      </x:c>
      <x:c r="F52" s="12" t="n">
        <x:f>Demand!F52</x:f>
        <x:v>0</x:v>
      </x:c>
      <x:c r="G52" s="12" t="n">
        <x:f>IF(Inputs!K12="MTO",0,ROUNDUP(E52*Inputs!J12/4.33,0))</x:f>
        <x:v>11834</x:v>
      </x:c>
      <x:c r="H52" s="12" t="n">
        <x:f>MAX(0,E52+G52-D52-F52)</x:f>
        <x:v>20067</x:v>
      </x:c>
      <x:c r="I52" s="12" t="n">
        <x:f>Demand!G52</x:f>
        <x:v>0</x:v>
      </x:c>
      <x:c r="J52" s="12" t="n">
        <x:f>MAX(0,H52+I52)</x:f>
        <x:v>20067</x:v>
      </x:c>
      <x:c r="K52" s="12" t="n">
        <x:f>D52+F52+J52-E52</x:f>
        <x:v>11834</x:v>
      </x:c>
      <x:c r="L52" s="15" t="n">
        <x:f>IF(E52=0,0,K52/E52*4.33)</x:f>
        <x:v>3.0000714285714287</x:v>
      </x:c>
      <x:c r="M52" s="9" t="str">
        <x:f>IF(K52&lt;0,"SHORTAGE",IF(K52&lt;G52,"BELOW TARGET","ON TARGET"))</x:f>
        <x:v>ON TARGET</x:v>
      </x:c>
    </x:row>
    <x:row r="53" ht="25" customHeight="1">
      <x:c r="A53" s="11" t="n">
        <x:f>Demand!A53</x:f>
        <x:v>46539</x:v>
      </x:c>
      <x:c r="B53" s="9" t="str">
        <x:f>Demand!B53</x:f>
        <x:v>WH-1</x:v>
      </x:c>
      <x:c r="C53" s="9" t="str">
        <x:f>Demand!C53</x:f>
        <x:v>DEMO-04</x:v>
      </x:c>
      <x:c r="D53" s="12" t="n">
        <x:f>K45</x:f>
        <x:v>0</x:v>
      </x:c>
      <x:c r="E53" s="12" t="n">
        <x:f>MAX(Demand!D53,Demand!E53)</x:f>
        <x:v>16623</x:v>
      </x:c>
      <x:c r="F53" s="12" t="n">
        <x:f>Demand!F53</x:f>
        <x:v>0</x:v>
      </x:c>
      <x:c r="G53" s="12" t="n">
        <x:f>IF(Inputs!K13="MTO",0,ROUNDUP(E53*Inputs!J13/4.33,0))</x:f>
        <x:v>0</x:v>
      </x:c>
      <x:c r="H53" s="12" t="n">
        <x:f>MAX(0,E53+G53-D53-F53)</x:f>
        <x:v>16623</x:v>
      </x:c>
      <x:c r="I53" s="12" t="n">
        <x:f>Demand!G53</x:f>
        <x:v>0</x:v>
      </x:c>
      <x:c r="J53" s="12" t="n">
        <x:f>MAX(0,H53+I53)</x:f>
        <x:v>16623</x:v>
      </x:c>
      <x:c r="K53" s="12" t="n">
        <x:f>D53+F53+J53-E53</x:f>
        <x:v>0</x:v>
      </x:c>
      <x:c r="L53" s="15" t="n">
        <x:f>IF(E53=0,0,K53/E53*4.33)</x:f>
        <x:v>0</x:v>
      </x:c>
      <x:c r="M53" s="9" t="str">
        <x:f>IF(K53&lt;0,"SHORTAGE",IF(K53&lt;G53,"BELOW TARGET","ON TARGET"))</x:f>
        <x:v>ON TARGET</x:v>
      </x:c>
    </x:row>
    <x:row r="54" ht="25" customHeight="1">
      <x:c r="A54" s="11" t="n">
        <x:f>Demand!A54</x:f>
        <x:v>46539</x:v>
      </x:c>
      <x:c r="B54" s="9" t="str">
        <x:f>Demand!B54</x:f>
        <x:v>WH-2</x:v>
      </x:c>
      <x:c r="C54" s="9" t="str">
        <x:f>Demand!C54</x:f>
        <x:v>DEMO-04</x:v>
      </x:c>
      <x:c r="D54" s="12" t="n">
        <x:f>K46</x:f>
        <x:v>0</x:v>
      </x:c>
      <x:c r="E54" s="12" t="n">
        <x:f>MAX(Demand!D54,Demand!E54)</x:f>
        <x:v>19063</x:v>
      </x:c>
      <x:c r="F54" s="12" t="n">
        <x:f>Demand!F54</x:f>
        <x:v>0</x:v>
      </x:c>
      <x:c r="G54" s="12" t="n">
        <x:f>IF(Inputs!K14="MTO",0,ROUNDUP(E54*Inputs!J14/4.33,0))</x:f>
        <x:v>0</x:v>
      </x:c>
      <x:c r="H54" s="12" t="n">
        <x:f>MAX(0,E54+G54-D54-F54)</x:f>
        <x:v>19063</x:v>
      </x:c>
      <x:c r="I54" s="12" t="n">
        <x:f>Demand!G54</x:f>
        <x:v>0</x:v>
      </x:c>
      <x:c r="J54" s="12" t="n">
        <x:f>MAX(0,H54+I54)</x:f>
        <x:v>19063</x:v>
      </x:c>
      <x:c r="K54" s="12" t="n">
        <x:f>D54+F54+J54-E54</x:f>
        <x:v>0</x:v>
      </x:c>
      <x:c r="L54" s="15" t="n">
        <x:f>IF(E54=0,0,K54/E54*4.33)</x:f>
        <x:v>0</x:v>
      </x:c>
      <x:c r="M54" s="9" t="str">
        <x:f>IF(K54&lt;0,"SHORTAGE",IF(K54&lt;G54,"BELOW TARGET","ON TARGET"))</x:f>
        <x:v>ON TARGET</x:v>
      </x:c>
    </x:row>
    <x:row r="55" ht="25" customHeight="1">
      <x:c r="A55" s="11" t="n">
        <x:f>Demand!A55</x:f>
        <x:v>46569</x:v>
      </x:c>
      <x:c r="B55" s="9" t="str">
        <x:f>Demand!B55</x:f>
        <x:v>WH-1</x:v>
      </x:c>
      <x:c r="C55" s="9" t="str">
        <x:f>Demand!C55</x:f>
        <x:v>DEMO-01</x:v>
      </x:c>
      <x:c r="D55" s="12" t="n">
        <x:f>K47</x:f>
        <x:v>7397</x:v>
      </x:c>
      <x:c r="E55" s="12" t="n">
        <x:f>MAX(Demand!D55,Demand!E55)</x:f>
        <x:v>8470</x:v>
      </x:c>
      <x:c r="F55" s="12" t="n">
        <x:f>Demand!F55</x:f>
        <x:v>0</x:v>
      </x:c>
      <x:c r="G55" s="12" t="n">
        <x:f>IF(Inputs!K7="MTO",0,ROUNDUP(E55*Inputs!J7/4.33,0))</x:f>
        <x:v>5869</x:v>
      </x:c>
      <x:c r="H55" s="12" t="n">
        <x:f>MAX(0,E55+G55-D55-F55)</x:f>
        <x:v>6942</x:v>
      </x:c>
      <x:c r="I55" s="12" t="n">
        <x:f>Demand!G55</x:f>
        <x:v>0</x:v>
      </x:c>
      <x:c r="J55" s="12" t="n">
        <x:f>MAX(0,H55+I55)</x:f>
        <x:v>6942</x:v>
      </x:c>
      <x:c r="K55" s="12" t="n">
        <x:f>D55+F55+J55-E55</x:f>
        <x:v>5869</x:v>
      </x:c>
      <x:c r="L55" s="15" t="n">
        <x:f>IF(E55=0,0,K55/E55*4.33)</x:f>
        <x:v>3.0003270365997636</x:v>
      </x:c>
      <x:c r="M55" s="9" t="str">
        <x:f>IF(K55&lt;0,"SHORTAGE",IF(K55&lt;G55,"BELOW TARGET","ON TARGET"))</x:f>
        <x:v>ON TARGET</x:v>
      </x:c>
    </x:row>
    <x:row r="56" ht="25" customHeight="1">
      <x:c r="A56" s="11" t="n">
        <x:f>Demand!A56</x:f>
        <x:v>46569</x:v>
      </x:c>
      <x:c r="B56" s="9" t="str">
        <x:f>Demand!B56</x:f>
        <x:v>WH-2</x:v>
      </x:c>
      <x:c r="C56" s="9" t="str">
        <x:f>Demand!C56</x:f>
        <x:v>DEMO-01</x:v>
      </x:c>
      <x:c r="D56" s="12" t="n">
        <x:f>K48</x:f>
        <x:v>9087</x:v>
      </x:c>
      <x:c r="E56" s="12" t="n">
        <x:f>MAX(Demand!D56,Demand!E56)</x:f>
        <x:v>10406</x:v>
      </x:c>
      <x:c r="F56" s="12" t="n">
        <x:f>Demand!F56</x:f>
        <x:v>0</x:v>
      </x:c>
      <x:c r="G56" s="12" t="n">
        <x:f>IF(Inputs!K8="MTO",0,ROUNDUP(E56*Inputs!J8/4.33,0))</x:f>
        <x:v>7210</x:v>
      </x:c>
      <x:c r="H56" s="12" t="n">
        <x:f>MAX(0,E56+G56-D56-F56)</x:f>
        <x:v>8529</x:v>
      </x:c>
      <x:c r="I56" s="12" t="n">
        <x:f>Demand!G56</x:f>
        <x:v>0</x:v>
      </x:c>
      <x:c r="J56" s="12" t="n">
        <x:f>MAX(0,H56+I56)</x:f>
        <x:v>8529</x:v>
      </x:c>
      <x:c r="K56" s="12" t="n">
        <x:f>D56+F56+J56-E56</x:f>
        <x:v>7210</x:v>
      </x:c>
      <x:c r="L56" s="15" t="n">
        <x:f>IF(E56=0,0,K56/E56*4.33)</x:f>
        <x:v>3.000124927926197</x:v>
      </x:c>
      <x:c r="M56" s="9" t="str">
        <x:f>IF(K56&lt;0,"SHORTAGE",IF(K56&lt;G56,"BELOW TARGET","ON TARGET"))</x:f>
        <x:v>ON TARGET</x:v>
      </x:c>
    </x:row>
    <x:row r="57" ht="25" customHeight="1">
      <x:c r="A57" s="11" t="n">
        <x:f>Demand!A57</x:f>
        <x:v>46569</x:v>
      </x:c>
      <x:c r="B57" s="9" t="str">
        <x:f>Demand!B57</x:f>
        <x:v>WH-1</x:v>
      </x:c>
      <x:c r="C57" s="9" t="str">
        <x:f>Demand!C57</x:f>
        <x:v>DEMO-02</x:v>
      </x:c>
      <x:c r="D57" s="12" t="n">
        <x:f>K49</x:f>
        <x:v>8770</x:v>
      </x:c>
      <x:c r="E57" s="12" t="n">
        <x:f>MAX(Demand!D57,Demand!E57)</x:f>
        <x:v>10043</x:v>
      </x:c>
      <x:c r="F57" s="12" t="n">
        <x:f>Demand!F57</x:f>
        <x:v>0</x:v>
      </x:c>
      <x:c r="G57" s="12" t="n">
        <x:f>IF(Inputs!K9="MTO",0,ROUNDUP(E57*Inputs!J9/4.33,0))</x:f>
        <x:v>6959</x:v>
      </x:c>
      <x:c r="H57" s="12" t="n">
        <x:f>MAX(0,E57+G57-D57-F57)</x:f>
        <x:v>8232</x:v>
      </x:c>
      <x:c r="I57" s="12" t="n">
        <x:f>Demand!G57</x:f>
        <x:v>0</x:v>
      </x:c>
      <x:c r="J57" s="12" t="n">
        <x:f>MAX(0,H57+I57)</x:f>
        <x:v>8232</x:v>
      </x:c>
      <x:c r="K57" s="12" t="n">
        <x:f>D57+F57+J57-E57</x:f>
        <x:v>6959</x:v>
      </x:c>
      <x:c r="L57" s="15" t="n">
        <x:f>IF(E57=0,0,K57/E57*4.33)</x:f>
        <x:v>3.000345514288559</x:v>
      </x:c>
      <x:c r="M57" s="9" t="str">
        <x:f>IF(K57&lt;0,"SHORTAGE",IF(K57&lt;G57,"BELOW TARGET","ON TARGET"))</x:f>
        <x:v>ON TARGET</x:v>
      </x:c>
    </x:row>
    <x:row r="58" ht="25" customHeight="1">
      <x:c r="A58" s="11" t="n">
        <x:f>Demand!A58</x:f>
        <x:v>46569</x:v>
      </x:c>
      <x:c r="B58" s="9" t="str">
        <x:f>Demand!B58</x:f>
        <x:v>WH-2</x:v>
      </x:c>
      <x:c r="C58" s="9" t="str">
        <x:f>Demand!C58</x:f>
        <x:v>DEMO-02</x:v>
      </x:c>
      <x:c r="D58" s="12" t="n">
        <x:f>K50</x:f>
        <x:v>10461</x:v>
      </x:c>
      <x:c r="E58" s="12" t="n">
        <x:f>MAX(Demand!D58,Demand!E58)</x:f>
        <x:v>11979</x:v>
      </x:c>
      <x:c r="F58" s="12" t="n">
        <x:f>Demand!F58</x:f>
        <x:v>0</x:v>
      </x:c>
      <x:c r="G58" s="12" t="n">
        <x:f>IF(Inputs!K10="MTO",0,ROUNDUP(E58*Inputs!J10/4.33,0))</x:f>
        <x:v>8300</x:v>
      </x:c>
      <x:c r="H58" s="12" t="n">
        <x:f>MAX(0,E58+G58-D58-F58)</x:f>
        <x:v>9818</x:v>
      </x:c>
      <x:c r="I58" s="12" t="n">
        <x:f>Demand!G58</x:f>
        <x:v>0</x:v>
      </x:c>
      <x:c r="J58" s="12" t="n">
        <x:f>MAX(0,H58+I58)</x:f>
        <x:v>9818</x:v>
      </x:c>
      <x:c r="K58" s="12" t="n">
        <x:f>D58+F58+J58-E58</x:f>
        <x:v>8300</x:v>
      </x:c>
      <x:c r="L58" s="15" t="n">
        <x:f>IF(E58=0,0,K58/E58*4.33)</x:f>
        <x:v>3.000166958844645</x:v>
      </x:c>
      <x:c r="M58" s="9" t="str">
        <x:f>IF(K58&lt;0,"SHORTAGE",IF(K58&lt;G58,"BELOW TARGET","ON TARGET"))</x:f>
        <x:v>ON TARGET</x:v>
      </x:c>
    </x:row>
    <x:row r="59" ht="25" customHeight="1">
      <x:c r="A59" s="11" t="n">
        <x:f>Demand!A59</x:f>
        <x:v>46569</x:v>
      </x:c>
      <x:c r="B59" s="9" t="str">
        <x:f>Demand!B59</x:f>
        <x:v>WH-1</x:v>
      </x:c>
      <x:c r="C59" s="9" t="str">
        <x:f>Demand!C59</x:f>
        <x:v>DEMO-03</x:v>
      </x:c>
      <x:c r="D59" s="12" t="n">
        <x:f>K51</x:f>
        <x:v>10144</x:v>
      </x:c>
      <x:c r="E59" s="12" t="n">
        <x:f>MAX(Demand!D59,Demand!E59)</x:f>
        <x:v>11616</x:v>
      </x:c>
      <x:c r="F59" s="12" t="n">
        <x:f>Demand!F59</x:f>
        <x:v>0</x:v>
      </x:c>
      <x:c r="G59" s="12" t="n">
        <x:f>IF(Inputs!K11="MTO",0,ROUNDUP(E59*Inputs!J11/4.33,0))</x:f>
        <x:v>8049</x:v>
      </x:c>
      <x:c r="H59" s="12" t="n">
        <x:f>MAX(0,E59+G59-D59-F59)</x:f>
        <x:v>9521</x:v>
      </x:c>
      <x:c r="I59" s="12" t="n">
        <x:f>Demand!G59</x:f>
        <x:v>0</x:v>
      </x:c>
      <x:c r="J59" s="12" t="n">
        <x:f>MAX(0,H59+I59)</x:f>
        <x:v>9521</x:v>
      </x:c>
      <x:c r="K59" s="12" t="n">
        <x:f>D59+F59+J59-E59</x:f>
        <x:v>8049</x:v>
      </x:c>
      <x:c r="L59" s="15" t="n">
        <x:f>IF(E59=0,0,K59/E59*4.33)</x:f>
        <x:v>3.0003589876033057</x:v>
      </x:c>
      <x:c r="M59" s="9" t="str">
        <x:f>IF(K59&lt;0,"SHORTAGE",IF(K59&lt;G59,"BELOW TARGET","ON TARGET"))</x:f>
        <x:v>ON TARGET</x:v>
      </x:c>
    </x:row>
    <x:row r="60" ht="25" customHeight="1">
      <x:c r="A60" s="11" t="n">
        <x:f>Demand!A60</x:f>
        <x:v>46569</x:v>
      </x:c>
      <x:c r="B60" s="9" t="str">
        <x:f>Demand!B60</x:f>
        <x:v>WH-2</x:v>
      </x:c>
      <x:c r="C60" s="9" t="str">
        <x:f>Demand!C60</x:f>
        <x:v>DEMO-03</x:v>
      </x:c>
      <x:c r="D60" s="12" t="n">
        <x:f>K52</x:f>
        <x:v>11834</x:v>
      </x:c>
      <x:c r="E60" s="12" t="n">
        <x:f>MAX(Demand!D60,Demand!E60)</x:f>
        <x:v>13552</x:v>
      </x:c>
      <x:c r="F60" s="12" t="n">
        <x:f>Demand!F60</x:f>
        <x:v>0</x:v>
      </x:c>
      <x:c r="G60" s="12" t="n">
        <x:f>IF(Inputs!K12="MTO",0,ROUNDUP(E60*Inputs!J12/4.33,0))</x:f>
        <x:v>9390</x:v>
      </x:c>
      <x:c r="H60" s="12" t="n">
        <x:f>MAX(0,E60+G60-D60-F60)</x:f>
        <x:v>11108</x:v>
      </x:c>
      <x:c r="I60" s="12" t="n">
        <x:f>Demand!G60</x:f>
        <x:v>0</x:v>
      </x:c>
      <x:c r="J60" s="12" t="n">
        <x:f>MAX(0,H60+I60)</x:f>
        <x:v>11108</x:v>
      </x:c>
      <x:c r="K60" s="12" t="n">
        <x:f>D60+F60+J60-E60</x:f>
        <x:v>9390</x:v>
      </x:c>
      <x:c r="L60" s="15" t="n">
        <x:f>IF(E60=0,0,K60/E60*4.33)</x:f>
        <x:v>3.0001992325855964</x:v>
      </x:c>
      <x:c r="M60" s="9" t="str">
        <x:f>IF(K60&lt;0,"SHORTAGE",IF(K60&lt;G60,"BELOW TARGET","ON TARGET"))</x:f>
        <x:v>ON TARGET</x:v>
      </x:c>
    </x:row>
    <x:row r="61" ht="25" customHeight="1">
      <x:c r="A61" s="11" t="n">
        <x:f>Demand!A61</x:f>
        <x:v>46569</x:v>
      </x:c>
      <x:c r="B61" s="9" t="str">
        <x:f>Demand!B61</x:f>
        <x:v>WH-1</x:v>
      </x:c>
      <x:c r="C61" s="9" t="str">
        <x:f>Demand!C61</x:f>
        <x:v>DEMO-04</x:v>
      </x:c>
      <x:c r="D61" s="12" t="n">
        <x:f>K53</x:f>
        <x:v>0</x:v>
      </x:c>
      <x:c r="E61" s="12" t="n">
        <x:f>MAX(Demand!D61,Demand!E61)</x:f>
        <x:v>13189</x:v>
      </x:c>
      <x:c r="F61" s="12" t="n">
        <x:f>Demand!F61</x:f>
        <x:v>0</x:v>
      </x:c>
      <x:c r="G61" s="12" t="n">
        <x:f>IF(Inputs!K13="MTO",0,ROUNDUP(E61*Inputs!J13/4.33,0))</x:f>
        <x:v>0</x:v>
      </x:c>
      <x:c r="H61" s="12" t="n">
        <x:f>MAX(0,E61+G61-D61-F61)</x:f>
        <x:v>13189</x:v>
      </x:c>
      <x:c r="I61" s="12" t="n">
        <x:f>Demand!G61</x:f>
        <x:v>0</x:v>
      </x:c>
      <x:c r="J61" s="12" t="n">
        <x:f>MAX(0,H61+I61)</x:f>
        <x:v>13189</x:v>
      </x:c>
      <x:c r="K61" s="12" t="n">
        <x:f>D61+F61+J61-E61</x:f>
        <x:v>0</x:v>
      </x:c>
      <x:c r="L61" s="15" t="n">
        <x:f>IF(E61=0,0,K61/E61*4.33)</x:f>
        <x:v>0</x:v>
      </x:c>
      <x:c r="M61" s="9" t="str">
        <x:f>IF(K61&lt;0,"SHORTAGE",IF(K61&lt;G61,"BELOW TARGET","ON TARGET"))</x:f>
        <x:v>ON TARGET</x:v>
      </x:c>
    </x:row>
    <x:row r="62" ht="25" customHeight="1">
      <x:c r="A62" s="11" t="n">
        <x:f>Demand!A62</x:f>
        <x:v>46569</x:v>
      </x:c>
      <x:c r="B62" s="9" t="str">
        <x:f>Demand!B62</x:f>
        <x:v>WH-2</x:v>
      </x:c>
      <x:c r="C62" s="9" t="str">
        <x:f>Demand!C62</x:f>
        <x:v>DEMO-04</x:v>
      </x:c>
      <x:c r="D62" s="12" t="n">
        <x:f>K54</x:f>
        <x:v>0</x:v>
      </x:c>
      <x:c r="E62" s="12" t="n">
        <x:f>MAX(Demand!D62,Demand!E62)</x:f>
        <x:v>15125</x:v>
      </x:c>
      <x:c r="F62" s="12" t="n">
        <x:f>Demand!F62</x:f>
        <x:v>0</x:v>
      </x:c>
      <x:c r="G62" s="12" t="n">
        <x:f>IF(Inputs!K14="MTO",0,ROUNDUP(E62*Inputs!J14/4.33,0))</x:f>
        <x:v>0</x:v>
      </x:c>
      <x:c r="H62" s="12" t="n">
        <x:f>MAX(0,E62+G62-D62-F62)</x:f>
        <x:v>15125</x:v>
      </x:c>
      <x:c r="I62" s="12" t="n">
        <x:f>Demand!G62</x:f>
        <x:v>0</x:v>
      </x:c>
      <x:c r="J62" s="12" t="n">
        <x:f>MAX(0,H62+I62)</x:f>
        <x:v>15125</x:v>
      </x:c>
      <x:c r="K62" s="12" t="n">
        <x:f>D62+F62+J62-E62</x:f>
        <x:v>0</x:v>
      </x:c>
      <x:c r="L62" s="15" t="n">
        <x:f>IF(E62=0,0,K62/E62*4.33)</x:f>
        <x:v>0</x:v>
      </x:c>
      <x:c r="M62" s="9" t="str">
        <x:f>IF(K62&lt;0,"SHORTAGE",IF(K62&lt;G62,"BELOW TARGET","ON TARGET"))</x:f>
        <x:v>ON TARGET</x:v>
      </x:c>
    </x:row>
    <x:row r="63" ht="25" customHeight="1">
      <x:c r="A63" s="11" t="n">
        <x:f>Demand!A63</x:f>
        <x:v>46600</x:v>
      </x:c>
      <x:c r="B63" s="9" t="str">
        <x:f>Demand!B63</x:f>
        <x:v>WH-1</x:v>
      </x:c>
      <x:c r="C63" s="9" t="str">
        <x:f>Demand!C63</x:f>
        <x:v>DEMO-01</x:v>
      </x:c>
      <x:c r="D63" s="12" t="n">
        <x:f>K55</x:f>
        <x:v>5869</x:v>
      </x:c>
      <x:c r="E63" s="12" t="n">
        <x:f>MAX(Demand!D63,Demand!E63)</x:f>
        <x:v>8715</x:v>
      </x:c>
      <x:c r="F63" s="12" t="n">
        <x:f>Demand!F63</x:f>
        <x:v>0</x:v>
      </x:c>
      <x:c r="G63" s="12" t="n">
        <x:f>IF(Inputs!K7="MTO",0,ROUNDUP(E63*Inputs!J7/4.33,0))</x:f>
        <x:v>6039</x:v>
      </x:c>
      <x:c r="H63" s="12" t="n">
        <x:f>MAX(0,E63+G63-D63-F63)</x:f>
        <x:v>8885</x:v>
      </x:c>
      <x:c r="I63" s="12" t="n">
        <x:f>Demand!G63</x:f>
        <x:v>0</x:v>
      </x:c>
      <x:c r="J63" s="12" t="n">
        <x:f>MAX(0,H63+I63)</x:f>
        <x:v>8885</x:v>
      </x:c>
      <x:c r="K63" s="12" t="n">
        <x:f>D63+F63+J63-E63</x:f>
        <x:v>6039</x:v>
      </x:c>
      <x:c r="L63" s="15" t="n">
        <x:f>IF(E63=0,0,K63/E63*4.33)</x:f>
        <x:v>3.0004440619621344</x:v>
      </x:c>
      <x:c r="M63" s="9" t="str">
        <x:f>IF(K63&lt;0,"SHORTAGE",IF(K63&lt;G63,"BELOW TARGET","ON TARGET"))</x:f>
        <x:v>ON TARGET</x:v>
      </x:c>
    </x:row>
    <x:row r="64" ht="25" customHeight="1">
      <x:c r="A64" s="11" t="n">
        <x:f>Demand!A64</x:f>
        <x:v>46600</x:v>
      </x:c>
      <x:c r="B64" s="9" t="str">
        <x:f>Demand!B64</x:f>
        <x:v>WH-2</x:v>
      </x:c>
      <x:c r="C64" s="9" t="str">
        <x:f>Demand!C64</x:f>
        <x:v>DEMO-01</x:v>
      </x:c>
      <x:c r="D64" s="12" t="n">
        <x:f>K56</x:f>
        <x:v>7210</x:v>
      </x:c>
      <x:c r="E64" s="12" t="n">
        <x:f>MAX(Demand!D64,Demand!E64)</x:f>
        <x:v>10707</x:v>
      </x:c>
      <x:c r="F64" s="12" t="n">
        <x:f>Demand!F64</x:f>
        <x:v>0</x:v>
      </x:c>
      <x:c r="G64" s="12" t="n">
        <x:f>IF(Inputs!K8="MTO",0,ROUNDUP(E64*Inputs!J8/4.33,0))</x:f>
        <x:v>7419</x:v>
      </x:c>
      <x:c r="H64" s="12" t="n">
        <x:f>MAX(0,E64+G64-D64-F64)</x:f>
        <x:v>10916</x:v>
      </x:c>
      <x:c r="I64" s="12" t="n">
        <x:f>Demand!G64</x:f>
        <x:v>0</x:v>
      </x:c>
      <x:c r="J64" s="12" t="n">
        <x:f>MAX(0,H64+I64)</x:f>
        <x:v>10916</x:v>
      </x:c>
      <x:c r="K64" s="12" t="n">
        <x:f>D64+F64+J64-E64</x:f>
        <x:v>7419</x:v>
      </x:c>
      <x:c r="L64" s="15" t="n">
        <x:f>IF(E64=0,0,K64/E64*4.33)</x:f>
        <x:v>3.0003054076772204</x:v>
      </x:c>
      <x:c r="M64" s="9" t="str">
        <x:f>IF(K64&lt;0,"SHORTAGE",IF(K64&lt;G64,"BELOW TARGET","ON TARGET"))</x:f>
        <x:v>ON TARGET</x:v>
      </x:c>
    </x:row>
    <x:row r="65" ht="25" customHeight="1">
      <x:c r="A65" s="11" t="n">
        <x:f>Demand!A65</x:f>
        <x:v>46600</x:v>
      </x:c>
      <x:c r="B65" s="9" t="str">
        <x:f>Demand!B65</x:f>
        <x:v>WH-1</x:v>
      </x:c>
      <x:c r="C65" s="9" t="str">
        <x:f>Demand!C65</x:f>
        <x:v>DEMO-02</x:v>
      </x:c>
      <x:c r="D65" s="12" t="n">
        <x:f>K57</x:f>
        <x:v>6959</x:v>
      </x:c>
      <x:c r="E65" s="12" t="n">
        <x:f>MAX(Demand!D65,Demand!E65)</x:f>
        <x:v>10334</x:v>
      </x:c>
      <x:c r="F65" s="12" t="n">
        <x:f>Demand!F65</x:f>
        <x:v>0</x:v>
      </x:c>
      <x:c r="G65" s="12" t="n">
        <x:f>IF(Inputs!K9="MTO",0,ROUNDUP(E65*Inputs!J9/4.33,0))</x:f>
        <x:v>7160</x:v>
      </x:c>
      <x:c r="H65" s="12" t="n">
        <x:f>MAX(0,E65+G65-D65-F65)</x:f>
        <x:v>10535</x:v>
      </x:c>
      <x:c r="I65" s="12" t="n">
        <x:f>Demand!G65</x:f>
        <x:v>0</x:v>
      </x:c>
      <x:c r="J65" s="12" t="n">
        <x:f>MAX(0,H65+I65)</x:f>
        <x:v>10535</x:v>
      </x:c>
      <x:c r="K65" s="12" t="n">
        <x:f>D65+F65+J65-E65</x:f>
        <x:v>7160</x:v>
      </x:c>
      <x:c r="L65" s="15" t="n">
        <x:f>IF(E65=0,0,K65/E65*4.33)</x:f>
        <x:v>3.000077414360364</x:v>
      </x:c>
      <x:c r="M65" s="9" t="str">
        <x:f>IF(K65&lt;0,"SHORTAGE",IF(K65&lt;G65,"BELOW TARGET","ON TARGET"))</x:f>
        <x:v>ON TARGET</x:v>
      </x:c>
    </x:row>
    <x:row r="66" ht="25" customHeight="1">
      <x:c r="A66" s="11" t="n">
        <x:f>Demand!A66</x:f>
        <x:v>46600</x:v>
      </x:c>
      <x:c r="B66" s="9" t="str">
        <x:f>Demand!B66</x:f>
        <x:v>WH-2</x:v>
      </x:c>
      <x:c r="C66" s="9" t="str">
        <x:f>Demand!C66</x:f>
        <x:v>DEMO-02</x:v>
      </x:c>
      <x:c r="D66" s="12" t="n">
        <x:f>K58</x:f>
        <x:v>8300</x:v>
      </x:c>
      <x:c r="E66" s="12" t="n">
        <x:f>MAX(Demand!D66,Demand!E66)</x:f>
        <x:v>12326</x:v>
      </x:c>
      <x:c r="F66" s="12" t="n">
        <x:f>Demand!F66</x:f>
        <x:v>0</x:v>
      </x:c>
      <x:c r="G66" s="12" t="n">
        <x:f>IF(Inputs!K10="MTO",0,ROUNDUP(E66*Inputs!J10/4.33,0))</x:f>
        <x:v>8540</x:v>
      </x:c>
      <x:c r="H66" s="12" t="n">
        <x:f>MAX(0,E66+G66-D66-F66)</x:f>
        <x:v>12566</x:v>
      </x:c>
      <x:c r="I66" s="12" t="n">
        <x:f>Demand!G66</x:f>
        <x:v>0</x:v>
      </x:c>
      <x:c r="J66" s="12" t="n">
        <x:f>MAX(0,H66+I66)</x:f>
        <x:v>12566</x:v>
      </x:c>
      <x:c r="K66" s="12" t="n">
        <x:f>D66+F66+J66-E66</x:f>
        <x:v>8540</x:v>
      </x:c>
      <x:c r="L66" s="15" t="n">
        <x:f>IF(E66=0,0,K66/E66*4.33)</x:f>
        <x:v>3.000016225864027</x:v>
      </x:c>
      <x:c r="M66" s="9" t="str">
        <x:f>IF(K66&lt;0,"SHORTAGE",IF(K66&lt;G66,"BELOW TARGET","ON TARGET"))</x:f>
        <x:v>ON TARGET</x:v>
      </x:c>
    </x:row>
    <x:row r="67" ht="25" customHeight="1">
      <x:c r="A67" s="11" t="n">
        <x:f>Demand!A67</x:f>
        <x:v>46600</x:v>
      </x:c>
      <x:c r="B67" s="9" t="str">
        <x:f>Demand!B67</x:f>
        <x:v>WH-1</x:v>
      </x:c>
      <x:c r="C67" s="9" t="str">
        <x:f>Demand!C67</x:f>
        <x:v>DEMO-03</x:v>
      </x:c>
      <x:c r="D67" s="12" t="n">
        <x:f>K59</x:f>
        <x:v>8049</x:v>
      </x:c>
      <x:c r="E67" s="12" t="n">
        <x:f>MAX(Demand!D67,Demand!E67)</x:f>
        <x:v>11952</x:v>
      </x:c>
      <x:c r="F67" s="12" t="n">
        <x:f>Demand!F67</x:f>
        <x:v>0</x:v>
      </x:c>
      <x:c r="G67" s="12" t="n">
        <x:f>IF(Inputs!K11="MTO",0,ROUNDUP(E67*Inputs!J11/4.33,0))</x:f>
        <x:v>8281</x:v>
      </x:c>
      <x:c r="H67" s="12" t="n">
        <x:f>MAX(0,E67+G67-D67-F67)</x:f>
        <x:v>12184</x:v>
      </x:c>
      <x:c r="I67" s="12" t="n">
        <x:f>Demand!G67</x:f>
        <x:v>0</x:v>
      </x:c>
      <x:c r="J67" s="12" t="n">
        <x:f>MAX(0,H67+I67)</x:f>
        <x:v>12184</x:v>
      </x:c>
      <x:c r="K67" s="12" t="n">
        <x:f>D67+F67+J67-E67</x:f>
        <x:v>8281</x:v>
      </x:c>
      <x:c r="L67" s="15" t="n">
        <x:f>IF(E67=0,0,K67/E67*4.33)</x:f>
        <x:v>3.0000610776439087</x:v>
      </x:c>
      <x:c r="M67" s="9" t="str">
        <x:f>IF(K67&lt;0,"SHORTAGE",IF(K67&lt;G67,"BELOW TARGET","ON TARGET"))</x:f>
        <x:v>ON TARGET</x:v>
      </x:c>
    </x:row>
    <x:row r="68" ht="25" customHeight="1">
      <x:c r="A68" s="11" t="n">
        <x:f>Demand!A68</x:f>
        <x:v>46600</x:v>
      </x:c>
      <x:c r="B68" s="9" t="str">
        <x:f>Demand!B68</x:f>
        <x:v>WH-2</x:v>
      </x:c>
      <x:c r="C68" s="9" t="str">
        <x:f>Demand!C68</x:f>
        <x:v>DEMO-03</x:v>
      </x:c>
      <x:c r="D68" s="12" t="n">
        <x:f>K60</x:f>
        <x:v>9390</x:v>
      </x:c>
      <x:c r="E68" s="12" t="n">
        <x:f>MAX(Demand!D68,Demand!E68)</x:f>
        <x:v>13944</x:v>
      </x:c>
      <x:c r="F68" s="12" t="n">
        <x:f>Demand!F68</x:f>
        <x:v>0</x:v>
      </x:c>
      <x:c r="G68" s="12" t="n">
        <x:f>IF(Inputs!K12="MTO",0,ROUNDUP(E68*Inputs!J12/4.33,0))</x:f>
        <x:v>9661</x:v>
      </x:c>
      <x:c r="H68" s="12" t="n">
        <x:f>MAX(0,E68+G68-D68-F68)</x:f>
        <x:v>14215</x:v>
      </x:c>
      <x:c r="I68" s="12" t="n">
        <x:f>Demand!G68</x:f>
        <x:v>0</x:v>
      </x:c>
      <x:c r="J68" s="12" t="n">
        <x:f>MAX(0,H68+I68)</x:f>
        <x:v>14215</x:v>
      </x:c>
      <x:c r="K68" s="12" t="n">
        <x:f>D68+F68+J68-E68</x:f>
        <x:v>9661</x:v>
      </x:c>
      <x:c r="L68" s="15" t="n">
        <x:f>IF(E68=0,0,K68/E68*4.33)</x:f>
        <x:v>3.0000093230063114</x:v>
      </x:c>
      <x:c r="M68" s="9" t="str">
        <x:f>IF(K68&lt;0,"SHORTAGE",IF(K68&lt;G68,"BELOW TARGET","ON TARGET"))</x:f>
        <x:v>ON TARGET</x:v>
      </x:c>
    </x:row>
    <x:row r="69" ht="25" customHeight="1">
      <x:c r="A69" s="11" t="n">
        <x:f>Demand!A69</x:f>
        <x:v>46600</x:v>
      </x:c>
      <x:c r="B69" s="9" t="str">
        <x:f>Demand!B69</x:f>
        <x:v>WH-1</x:v>
      </x:c>
      <x:c r="C69" s="9" t="str">
        <x:f>Demand!C69</x:f>
        <x:v>DEMO-04</x:v>
      </x:c>
      <x:c r="D69" s="12" t="n">
        <x:f>K61</x:f>
        <x:v>0</x:v>
      </x:c>
      <x:c r="E69" s="12" t="n">
        <x:f>MAX(Demand!D69,Demand!E69)</x:f>
        <x:v>13571</x:v>
      </x:c>
      <x:c r="F69" s="12" t="n">
        <x:f>Demand!F69</x:f>
        <x:v>0</x:v>
      </x:c>
      <x:c r="G69" s="12" t="n">
        <x:f>IF(Inputs!K13="MTO",0,ROUNDUP(E69*Inputs!J13/4.33,0))</x:f>
        <x:v>0</x:v>
      </x:c>
      <x:c r="H69" s="12" t="n">
        <x:f>MAX(0,E69+G69-D69-F69)</x:f>
        <x:v>13571</x:v>
      </x:c>
      <x:c r="I69" s="12" t="n">
        <x:f>Demand!G69</x:f>
        <x:v>0</x:v>
      </x:c>
      <x:c r="J69" s="12" t="n">
        <x:f>MAX(0,H69+I69)</x:f>
        <x:v>13571</x:v>
      </x:c>
      <x:c r="K69" s="12" t="n">
        <x:f>D69+F69+J69-E69</x:f>
        <x:v>0</x:v>
      </x:c>
      <x:c r="L69" s="15" t="n">
        <x:f>IF(E69=0,0,K69/E69*4.33)</x:f>
        <x:v>0</x:v>
      </x:c>
      <x:c r="M69" s="9" t="str">
        <x:f>IF(K69&lt;0,"SHORTAGE",IF(K69&lt;G69,"BELOW TARGET","ON TARGET"))</x:f>
        <x:v>ON TARGET</x:v>
      </x:c>
    </x:row>
    <x:row r="70" ht="25" customHeight="1">
      <x:c r="A70" s="11" t="n">
        <x:f>Demand!A70</x:f>
        <x:v>46600</x:v>
      </x:c>
      <x:c r="B70" s="9" t="str">
        <x:f>Demand!B70</x:f>
        <x:v>WH-2</x:v>
      </x:c>
      <x:c r="C70" s="9" t="str">
        <x:f>Demand!C70</x:f>
        <x:v>DEMO-04</x:v>
      </x:c>
      <x:c r="D70" s="12" t="n">
        <x:f>K62</x:f>
        <x:v>0</x:v>
      </x:c>
      <x:c r="E70" s="12" t="n">
        <x:f>MAX(Demand!D70,Demand!E70)</x:f>
        <x:v>15563</x:v>
      </x:c>
      <x:c r="F70" s="12" t="n">
        <x:f>Demand!F70</x:f>
        <x:v>0</x:v>
      </x:c>
      <x:c r="G70" s="12" t="n">
        <x:f>IF(Inputs!K14="MTO",0,ROUNDUP(E70*Inputs!J14/4.33,0))</x:f>
        <x:v>0</x:v>
      </x:c>
      <x:c r="H70" s="12" t="n">
        <x:f>MAX(0,E70+G70-D70-F70)</x:f>
        <x:v>15563</x:v>
      </x:c>
      <x:c r="I70" s="12" t="n">
        <x:f>Demand!G70</x:f>
        <x:v>0</x:v>
      </x:c>
      <x:c r="J70" s="12" t="n">
        <x:f>MAX(0,H70+I70)</x:f>
        <x:v>15563</x:v>
      </x:c>
      <x:c r="K70" s="12" t="n">
        <x:f>D70+F70+J70-E70</x:f>
        <x:v>0</x:v>
      </x:c>
      <x:c r="L70" s="15" t="n">
        <x:f>IF(E70=0,0,K70/E70*4.33)</x:f>
        <x:v>0</x:v>
      </x:c>
      <x:c r="M70" s="9" t="str">
        <x:f>IF(K70&lt;0,"SHORTAGE",IF(K70&lt;G70,"BELOW TARGET","ON TARGET"))</x:f>
        <x:v>ON TARGET</x:v>
      </x:c>
    </x:row>
    <x:row r="71" ht="25" customHeight="1">
      <x:c r="A71" s="11" t="n">
        <x:f>Demand!A71</x:f>
        <x:v>46631</x:v>
      </x:c>
      <x:c r="B71" s="9" t="str">
        <x:f>Demand!B71</x:f>
        <x:v>WH-1</x:v>
      </x:c>
      <x:c r="C71" s="9" t="str">
        <x:f>Demand!C71</x:f>
        <x:v>DEMO-01</x:v>
      </x:c>
      <x:c r="D71" s="12" t="n">
        <x:f>K63</x:f>
        <x:v>6039</x:v>
      </x:c>
      <x:c r="E71" s="12" t="n">
        <x:f>MAX(Demand!D71,Demand!E71)</x:f>
        <x:v>8960</x:v>
      </x:c>
      <x:c r="F71" s="12" t="n">
        <x:f>Demand!F71</x:f>
        <x:v>0</x:v>
      </x:c>
      <x:c r="G71" s="12" t="n">
        <x:f>IF(Inputs!K7="MTO",0,ROUNDUP(E71*Inputs!J7/4.33,0))</x:f>
        <x:v>6208</x:v>
      </x:c>
      <x:c r="H71" s="12" t="n">
        <x:f>MAX(0,E71+G71-D71-F71)</x:f>
        <x:v>9129</x:v>
      </x:c>
      <x:c r="I71" s="12" t="n">
        <x:f>Demand!G71</x:f>
        <x:v>0</x:v>
      </x:c>
      <x:c r="J71" s="12" t="n">
        <x:f>MAX(0,H71+I71)</x:f>
        <x:v>9129</x:v>
      </x:c>
      <x:c r="K71" s="12" t="n">
        <x:f>D71+F71+J71-E71</x:f>
        <x:v>6208</x:v>
      </x:c>
      <x:c r="L71" s="15" t="n">
        <x:f>IF(E71=0,0,K71/E71*4.33)</x:f>
        <x:v>3.0000714285714287</x:v>
      </x:c>
      <x:c r="M71" s="9" t="str">
        <x:f>IF(K71&lt;0,"SHORTAGE",IF(K71&lt;G71,"BELOW TARGET","ON TARGET"))</x:f>
        <x:v>ON TARGET</x:v>
      </x:c>
    </x:row>
    <x:row r="72" ht="25" customHeight="1">
      <x:c r="A72" s="11" t="n">
        <x:f>Demand!A72</x:f>
        <x:v>46631</x:v>
      </x:c>
      <x:c r="B72" s="9" t="str">
        <x:f>Demand!B72</x:f>
        <x:v>WH-2</x:v>
      </x:c>
      <x:c r="C72" s="9" t="str">
        <x:f>Demand!C72</x:f>
        <x:v>DEMO-01</x:v>
      </x:c>
      <x:c r="D72" s="12" t="n">
        <x:f>K64</x:f>
        <x:v>7419</x:v>
      </x:c>
      <x:c r="E72" s="12" t="n">
        <x:f>MAX(Demand!D72,Demand!E72)</x:f>
        <x:v>11008</x:v>
      </x:c>
      <x:c r="F72" s="12" t="n">
        <x:f>Demand!F72</x:f>
        <x:v>0</x:v>
      </x:c>
      <x:c r="G72" s="12" t="n">
        <x:f>IF(Inputs!K8="MTO",0,ROUNDUP(E72*Inputs!J8/4.33,0))</x:f>
        <x:v>7627</x:v>
      </x:c>
      <x:c r="H72" s="12" t="n">
        <x:f>MAX(0,E72+G72-D72-F72)</x:f>
        <x:v>11216</x:v>
      </x:c>
      <x:c r="I72" s="12" t="n">
        <x:f>Demand!G72</x:f>
        <x:v>0</x:v>
      </x:c>
      <x:c r="J72" s="12" t="n">
        <x:f>MAX(0,H72+I72)</x:f>
        <x:v>11216</x:v>
      </x:c>
      <x:c r="K72" s="12" t="n">
        <x:f>D72+F72+J72-E72</x:f>
        <x:v>7627</x:v>
      </x:c>
      <x:c r="L72" s="15" t="n">
        <x:f>IF(E72=0,0,K72/E72*4.33)</x:f>
        <x:v>3.0000826671511627</x:v>
      </x:c>
      <x:c r="M72" s="9" t="str">
        <x:f>IF(K72&lt;0,"SHORTAGE",IF(K72&lt;G72,"BELOW TARGET","ON TARGET"))</x:f>
        <x:v>ON TARGET</x:v>
      </x:c>
    </x:row>
    <x:row r="73" ht="25" customHeight="1">
      <x:c r="A73" s="11" t="n">
        <x:f>Demand!A73</x:f>
        <x:v>46631</x:v>
      </x:c>
      <x:c r="B73" s="9" t="str">
        <x:f>Demand!B73</x:f>
        <x:v>WH-1</x:v>
      </x:c>
      <x:c r="C73" s="9" t="str">
        <x:f>Demand!C73</x:f>
        <x:v>DEMO-02</x:v>
      </x:c>
      <x:c r="D73" s="12" t="n">
        <x:f>K65</x:f>
        <x:v>7160</x:v>
      </x:c>
      <x:c r="E73" s="12" t="n">
        <x:f>MAX(Demand!D73,Demand!E73)</x:f>
        <x:v>10624</x:v>
      </x:c>
      <x:c r="F73" s="12" t="n">
        <x:f>Demand!F73</x:f>
        <x:v>0</x:v>
      </x:c>
      <x:c r="G73" s="12" t="n">
        <x:f>IF(Inputs!K9="MTO",0,ROUNDUP(E73*Inputs!J9/4.33,0))</x:f>
        <x:v>7361</x:v>
      </x:c>
      <x:c r="H73" s="12" t="n">
        <x:f>MAX(0,E73+G73-D73-F73)</x:f>
        <x:v>10825</x:v>
      </x:c>
      <x:c r="I73" s="12" t="n">
        <x:f>Demand!G73</x:f>
        <x:v>0</x:v>
      </x:c>
      <x:c r="J73" s="12" t="n">
        <x:f>MAX(0,H73+I73)</x:f>
        <x:v>10825</x:v>
      </x:c>
      <x:c r="K73" s="12" t="n">
        <x:f>D73+F73+J73-E73</x:f>
        <x:v>7361</x:v>
      </x:c>
      <x:c r="L73" s="15" t="n">
        <x:f>IF(E73=0,0,K73/E73*4.33)</x:f>
        <x:v>3.0001063629518074</x:v>
      </x:c>
      <x:c r="M73" s="9" t="str">
        <x:f>IF(K73&lt;0,"SHORTAGE",IF(K73&lt;G73,"BELOW TARGET","ON TARGET"))</x:f>
        <x:v>ON TARGET</x:v>
      </x:c>
    </x:row>
    <x:row r="74" ht="25" customHeight="1">
      <x:c r="A74" s="11" t="n">
        <x:f>Demand!A74</x:f>
        <x:v>46631</x:v>
      </x:c>
      <x:c r="B74" s="9" t="str">
        <x:f>Demand!B74</x:f>
        <x:v>WH-2</x:v>
      </x:c>
      <x:c r="C74" s="9" t="str">
        <x:f>Demand!C74</x:f>
        <x:v>DEMO-02</x:v>
      </x:c>
      <x:c r="D74" s="12" t="n">
        <x:f>K66</x:f>
        <x:v>8540</x:v>
      </x:c>
      <x:c r="E74" s="12" t="n">
        <x:f>MAX(Demand!D74,Demand!E74)</x:f>
        <x:v>12672</x:v>
      </x:c>
      <x:c r="F74" s="12" t="n">
        <x:f>Demand!F74</x:f>
        <x:v>0</x:v>
      </x:c>
      <x:c r="G74" s="12" t="n">
        <x:f>IF(Inputs!K10="MTO",0,ROUNDUP(E74*Inputs!J10/4.33,0))</x:f>
        <x:v>8780</x:v>
      </x:c>
      <x:c r="H74" s="12" t="n">
        <x:f>MAX(0,E74+G74-D74-F74)</x:f>
        <x:v>12912</x:v>
      </x:c>
      <x:c r="I74" s="12" t="n">
        <x:f>Demand!G74</x:f>
        <x:v>0</x:v>
      </x:c>
      <x:c r="J74" s="12" t="n">
        <x:f>MAX(0,H74+I74)</x:f>
        <x:v>12912</x:v>
      </x:c>
      <x:c r="K74" s="12" t="n">
        <x:f>D74+F74+J74-E74</x:f>
        <x:v>8780</x:v>
      </x:c>
      <x:c r="L74" s="15" t="n">
        <x:f>IF(E74=0,0,K74/E74*4.33)</x:f>
        <x:v>3.00011047979798</x:v>
      </x:c>
      <x:c r="M74" s="9" t="str">
        <x:f>IF(K74&lt;0,"SHORTAGE",IF(K74&lt;G74,"BELOW TARGET","ON TARGET"))</x:f>
        <x:v>ON TARGET</x:v>
      </x:c>
    </x:row>
    <x:row r="75" ht="25" customHeight="1">
      <x:c r="A75" s="11" t="n">
        <x:f>Demand!A75</x:f>
        <x:v>46631</x:v>
      </x:c>
      <x:c r="B75" s="9" t="str">
        <x:f>Demand!B75</x:f>
        <x:v>WH-1</x:v>
      </x:c>
      <x:c r="C75" s="9" t="str">
        <x:f>Demand!C75</x:f>
        <x:v>DEMO-03</x:v>
      </x:c>
      <x:c r="D75" s="12" t="n">
        <x:f>K67</x:f>
        <x:v>8281</x:v>
      </x:c>
      <x:c r="E75" s="12" t="n">
        <x:f>MAX(Demand!D75,Demand!E75)</x:f>
        <x:v>12288</x:v>
      </x:c>
      <x:c r="F75" s="12" t="n">
        <x:f>Demand!F75</x:f>
        <x:v>0</x:v>
      </x:c>
      <x:c r="G75" s="12" t="n">
        <x:f>IF(Inputs!K11="MTO",0,ROUNDUP(E75*Inputs!J11/4.33,0))</x:f>
        <x:v>8514</x:v>
      </x:c>
      <x:c r="H75" s="12" t="n">
        <x:f>MAX(0,E75+G75-D75-F75)</x:f>
        <x:v>12521</x:v>
      </x:c>
      <x:c r="I75" s="12" t="n">
        <x:f>Demand!G75</x:f>
        <x:v>0</x:v>
      </x:c>
      <x:c r="J75" s="12" t="n">
        <x:f>MAX(0,H75+I75)</x:f>
        <x:v>12521</x:v>
      </x:c>
      <x:c r="K75" s="12" t="n">
        <x:f>D75+F75+J75-E75</x:f>
        <x:v>8514</x:v>
      </x:c>
      <x:c r="L75" s="15" t="n">
        <x:f>IF(E75=0,0,K75/E75*4.33)</x:f>
        <x:v>3.0001318359375</x:v>
      </x:c>
      <x:c r="M75" s="9" t="str">
        <x:f>IF(K75&lt;0,"SHORTAGE",IF(K75&lt;G75,"BELOW TARGET","ON TARGET"))</x:f>
        <x:v>ON TARGET</x:v>
      </x:c>
    </x:row>
    <x:row r="76" ht="25" customHeight="1">
      <x:c r="A76" s="11" t="n">
        <x:f>Demand!A76</x:f>
        <x:v>46631</x:v>
      </x:c>
      <x:c r="B76" s="9" t="str">
        <x:f>Demand!B76</x:f>
        <x:v>WH-2</x:v>
      </x:c>
      <x:c r="C76" s="9" t="str">
        <x:f>Demand!C76</x:f>
        <x:v>DEMO-03</x:v>
      </x:c>
      <x:c r="D76" s="12" t="n">
        <x:f>K68</x:f>
        <x:v>9661</x:v>
      </x:c>
      <x:c r="E76" s="12" t="n">
        <x:f>MAX(Demand!D76,Demand!E76)</x:f>
        <x:v>14336</x:v>
      </x:c>
      <x:c r="F76" s="12" t="n">
        <x:f>Demand!F76</x:f>
        <x:v>0</x:v>
      </x:c>
      <x:c r="G76" s="12" t="n">
        <x:f>IF(Inputs!K12="MTO",0,ROUNDUP(E76*Inputs!J12/4.33,0))</x:f>
        <x:v>9933</x:v>
      </x:c>
      <x:c r="H76" s="12" t="n">
        <x:f>MAX(0,E76+G76-D76-F76)</x:f>
        <x:v>14608</x:v>
      </x:c>
      <x:c r="I76" s="12" t="n">
        <x:f>Demand!G76</x:f>
        <x:v>0</x:v>
      </x:c>
      <x:c r="J76" s="12" t="n">
        <x:f>MAX(0,H76+I76)</x:f>
        <x:v>14608</x:v>
      </x:c>
      <x:c r="K76" s="12" t="n">
        <x:f>D76+F76+J76-E76</x:f>
        <x:v>9933</x:v>
      </x:c>
      <x:c r="L76" s="15" t="n">
        <x:f>IF(E76=0,0,K76/E76*4.33)</x:f>
        <x:v>3.0001318359375</x:v>
      </x:c>
      <x:c r="M76" s="9" t="str">
        <x:f>IF(K76&lt;0,"SHORTAGE",IF(K76&lt;G76,"BELOW TARGET","ON TARGET"))</x:f>
        <x:v>ON TARGET</x:v>
      </x:c>
    </x:row>
    <x:row r="77" ht="25" customHeight="1">
      <x:c r="A77" s="11" t="n">
        <x:f>Demand!A77</x:f>
        <x:v>46631</x:v>
      </x:c>
      <x:c r="B77" s="9" t="str">
        <x:f>Demand!B77</x:f>
        <x:v>WH-1</x:v>
      </x:c>
      <x:c r="C77" s="9" t="str">
        <x:f>Demand!C77</x:f>
        <x:v>DEMO-04</x:v>
      </x:c>
      <x:c r="D77" s="12" t="n">
        <x:f>K69</x:f>
        <x:v>0</x:v>
      </x:c>
      <x:c r="E77" s="12" t="n">
        <x:f>MAX(Demand!D77,Demand!E77)</x:f>
        <x:v>13952</x:v>
      </x:c>
      <x:c r="F77" s="12" t="n">
        <x:f>Demand!F77</x:f>
        <x:v>0</x:v>
      </x:c>
      <x:c r="G77" s="12" t="n">
        <x:f>IF(Inputs!K13="MTO",0,ROUNDUP(E77*Inputs!J13/4.33,0))</x:f>
        <x:v>0</x:v>
      </x:c>
      <x:c r="H77" s="12" t="n">
        <x:f>MAX(0,E77+G77-D77-F77)</x:f>
        <x:v>13952</x:v>
      </x:c>
      <x:c r="I77" s="12" t="n">
        <x:f>Demand!G77</x:f>
        <x:v>0</x:v>
      </x:c>
      <x:c r="J77" s="12" t="n">
        <x:f>MAX(0,H77+I77)</x:f>
        <x:v>13952</x:v>
      </x:c>
      <x:c r="K77" s="12" t="n">
        <x:f>D77+F77+J77-E77</x:f>
        <x:v>0</x:v>
      </x:c>
      <x:c r="L77" s="15" t="n">
        <x:f>IF(E77=0,0,K77/E77*4.33)</x:f>
        <x:v>0</x:v>
      </x:c>
      <x:c r="M77" s="9" t="str">
        <x:f>IF(K77&lt;0,"SHORTAGE",IF(K77&lt;G77,"BELOW TARGET","ON TARGET"))</x:f>
        <x:v>ON TARGET</x:v>
      </x:c>
    </x:row>
    <x:row r="78" ht="25" customHeight="1">
      <x:c r="A78" s="11" t="n">
        <x:f>Demand!A78</x:f>
        <x:v>46631</x:v>
      </x:c>
      <x:c r="B78" s="9" t="str">
        <x:f>Demand!B78</x:f>
        <x:v>WH-2</x:v>
      </x:c>
      <x:c r="C78" s="9" t="str">
        <x:f>Demand!C78</x:f>
        <x:v>DEMO-04</x:v>
      </x:c>
      <x:c r="D78" s="12" t="n">
        <x:f>K70</x:f>
        <x:v>0</x:v>
      </x:c>
      <x:c r="E78" s="12" t="n">
        <x:f>MAX(Demand!D78,Demand!E78)</x:f>
        <x:v>16000</x:v>
      </x:c>
      <x:c r="F78" s="12" t="n">
        <x:f>Demand!F78</x:f>
        <x:v>0</x:v>
      </x:c>
      <x:c r="G78" s="12" t="n">
        <x:f>IF(Inputs!K14="MTO",0,ROUNDUP(E78*Inputs!J14/4.33,0))</x:f>
        <x:v>0</x:v>
      </x:c>
      <x:c r="H78" s="12" t="n">
        <x:f>MAX(0,E78+G78-D78-F78)</x:f>
        <x:v>16000</x:v>
      </x:c>
      <x:c r="I78" s="12" t="n">
        <x:f>Demand!G78</x:f>
        <x:v>0</x:v>
      </x:c>
      <x:c r="J78" s="12" t="n">
        <x:f>MAX(0,H78+I78)</x:f>
        <x:v>16000</x:v>
      </x:c>
      <x:c r="K78" s="12" t="n">
        <x:f>D78+F78+J78-E78</x:f>
        <x:v>0</x:v>
      </x:c>
      <x:c r="L78" s="15" t="n">
        <x:f>IF(E78=0,0,K78/E78*4.33)</x:f>
        <x:v>0</x:v>
      </x:c>
      <x:c r="M78" s="9" t="str">
        <x:f>IF(K78&lt;0,"SHORTAGE",IF(K78&lt;G78,"BELOW TARGET","ON TARGET"))</x:f>
        <x:v>ON TARGET</x:v>
      </x:c>
    </x:row>
    <x:row r="79" ht="25" customHeight="1">
      <x:c r="A79" s="11" t="n">
        <x:f>Demand!A79</x:f>
        <x:v>46661</x:v>
      </x:c>
      <x:c r="B79" s="9" t="str">
        <x:f>Demand!B79</x:f>
        <x:v>WH-1</x:v>
      </x:c>
      <x:c r="C79" s="9" t="str">
        <x:f>Demand!C79</x:f>
        <x:v>DEMO-01</x:v>
      </x:c>
      <x:c r="D79" s="12" t="n">
        <x:f>K71</x:f>
        <x:v>6208</x:v>
      </x:c>
      <x:c r="E79" s="12" t="n">
        <x:f>MAX(Demand!D79,Demand!E79)</x:f>
        <x:v>9205</x:v>
      </x:c>
      <x:c r="F79" s="12" t="n">
        <x:f>Demand!F79</x:f>
        <x:v>0</x:v>
      </x:c>
      <x:c r="G79" s="12" t="n">
        <x:f>IF(Inputs!K7="MTO",0,ROUNDUP(E79*Inputs!J7/4.33,0))</x:f>
        <x:v>6378</x:v>
      </x:c>
      <x:c r="H79" s="12" t="n">
        <x:f>MAX(0,E79+G79-D79-F79)</x:f>
        <x:v>9375</x:v>
      </x:c>
      <x:c r="I79" s="12" t="n">
        <x:f>Demand!G79</x:f>
        <x:v>0</x:v>
      </x:c>
      <x:c r="J79" s="12" t="n">
        <x:f>MAX(0,H79+I79)</x:f>
        <x:v>9375</x:v>
      </x:c>
      <x:c r="K79" s="12" t="n">
        <x:f>D79+F79+J79-E79</x:f>
        <x:v>6378</x:v>
      </x:c>
      <x:c r="L79" s="15" t="n">
        <x:f>IF(E79=0,0,K79/E79*4.33)</x:f>
        <x:v>3.0001890277023353</x:v>
      </x:c>
      <x:c r="M79" s="9" t="str">
        <x:f>IF(K79&lt;0,"SHORTAGE",IF(K79&lt;G79,"BELOW TARGET","ON TARGET"))</x:f>
        <x:v>ON TARGET</x:v>
      </x:c>
    </x:row>
    <x:row r="80" ht="25" customHeight="1">
      <x:c r="A80" s="11" t="n">
        <x:f>Demand!A80</x:f>
        <x:v>46661</x:v>
      </x:c>
      <x:c r="B80" s="9" t="str">
        <x:f>Demand!B80</x:f>
        <x:v>WH-2</x:v>
      </x:c>
      <x:c r="C80" s="9" t="str">
        <x:f>Demand!C80</x:f>
        <x:v>DEMO-01</x:v>
      </x:c>
      <x:c r="D80" s="12" t="n">
        <x:f>K72</x:f>
        <x:v>7627</x:v>
      </x:c>
      <x:c r="E80" s="12" t="n">
        <x:f>MAX(Demand!D80,Demand!E80)</x:f>
        <x:v>11309</x:v>
      </x:c>
      <x:c r="F80" s="12" t="n">
        <x:f>Demand!F80</x:f>
        <x:v>0</x:v>
      </x:c>
      <x:c r="G80" s="12" t="n">
        <x:f>IF(Inputs!K8="MTO",0,ROUNDUP(E80*Inputs!J8/4.33,0))</x:f>
        <x:v>7836</x:v>
      </x:c>
      <x:c r="H80" s="12" t="n">
        <x:f>MAX(0,E80+G80-D80-F80)</x:f>
        <x:v>11518</x:v>
      </x:c>
      <x:c r="I80" s="12" t="n">
        <x:f>Demand!G80</x:f>
        <x:v>0</x:v>
      </x:c>
      <x:c r="J80" s="12" t="n">
        <x:f>MAX(0,H80+I80)</x:f>
        <x:v>11518</x:v>
      </x:c>
      <x:c r="K80" s="12" t="n">
        <x:f>D80+F80+J80-E80</x:f>
        <x:v>7836</x:v>
      </x:c>
      <x:c r="L80" s="15" t="n">
        <x:f>IF(E80=0,0,K80/E80*4.33)</x:f>
        <x:v>3.0002546644265626</x:v>
      </x:c>
      <x:c r="M80" s="9" t="str">
        <x:f>IF(K80&lt;0,"SHORTAGE",IF(K80&lt;G80,"BELOW TARGET","ON TARGET"))</x:f>
        <x:v>ON TARGET</x:v>
      </x:c>
    </x:row>
    <x:row r="81" ht="25" customHeight="1">
      <x:c r="A81" s="11" t="n">
        <x:f>Demand!A81</x:f>
        <x:v>46661</x:v>
      </x:c>
      <x:c r="B81" s="9" t="str">
        <x:f>Demand!B81</x:f>
        <x:v>WH-1</x:v>
      </x:c>
      <x:c r="C81" s="9" t="str">
        <x:f>Demand!C81</x:f>
        <x:v>DEMO-02</x:v>
      </x:c>
      <x:c r="D81" s="12" t="n">
        <x:f>K73</x:f>
        <x:v>7361</x:v>
      </x:c>
      <x:c r="E81" s="12" t="n">
        <x:f>MAX(Demand!D81,Demand!E81)</x:f>
        <x:v>10915</x:v>
      </x:c>
      <x:c r="F81" s="12" t="n">
        <x:f>Demand!F81</x:f>
        <x:v>0</x:v>
      </x:c>
      <x:c r="G81" s="12" t="n">
        <x:f>IF(Inputs!K9="MTO",0,ROUNDUP(E81*Inputs!J9/4.33,0))</x:f>
        <x:v>7563</x:v>
      </x:c>
      <x:c r="H81" s="12" t="n">
        <x:f>MAX(0,E81+G81-D81-F81)</x:f>
        <x:v>11117</x:v>
      </x:c>
      <x:c r="I81" s="12" t="n">
        <x:f>Demand!G81</x:f>
        <x:v>0</x:v>
      </x:c>
      <x:c r="J81" s="12" t="n">
        <x:f>MAX(0,H81+I81)</x:f>
        <x:v>11117</x:v>
      </x:c>
      <x:c r="K81" s="12" t="n">
        <x:f>D81+F81+J81-E81</x:f>
        <x:v>7563</x:v>
      </x:c>
      <x:c r="L81" s="15" t="n">
        <x:f>IF(E81=0,0,K81/E81*4.33)</x:f>
        <x:v>3.0002556115437473</x:v>
      </x:c>
      <x:c r="M81" s="9" t="str">
        <x:f>IF(K81&lt;0,"SHORTAGE",IF(K81&lt;G81,"BELOW TARGET","ON TARGET"))</x:f>
        <x:v>ON TARGET</x:v>
      </x:c>
    </x:row>
    <x:row r="82" ht="25" customHeight="1">
      <x:c r="A82" s="11" t="n">
        <x:f>Demand!A82</x:f>
        <x:v>46661</x:v>
      </x:c>
      <x:c r="B82" s="9" t="str">
        <x:f>Demand!B82</x:f>
        <x:v>WH-2</x:v>
      </x:c>
      <x:c r="C82" s="9" t="str">
        <x:f>Demand!C82</x:f>
        <x:v>DEMO-02</x:v>
      </x:c>
      <x:c r="D82" s="12" t="n">
        <x:f>K74</x:f>
        <x:v>8780</x:v>
      </x:c>
      <x:c r="E82" s="12" t="n">
        <x:f>MAX(Demand!D82,Demand!E82)</x:f>
        <x:v>13019</x:v>
      </x:c>
      <x:c r="F82" s="12" t="n">
        <x:f>Demand!F82</x:f>
        <x:v>0</x:v>
      </x:c>
      <x:c r="G82" s="12" t="n">
        <x:f>IF(Inputs!K10="MTO",0,ROUNDUP(E82*Inputs!J10/4.33,0))</x:f>
        <x:v>9021</x:v>
      </x:c>
      <x:c r="H82" s="12" t="n">
        <x:f>MAX(0,E82+G82-D82-F82)</x:f>
        <x:v>13260</x:v>
      </x:c>
      <x:c r="I82" s="12" t="n">
        <x:f>Demand!G82</x:f>
        <x:v>0</x:v>
      </x:c>
      <x:c r="J82" s="12" t="n">
        <x:f>MAX(0,H82+I82)</x:f>
        <x:v>13260</x:v>
      </x:c>
      <x:c r="K82" s="12" t="n">
        <x:f>D82+F82+J82-E82</x:f>
        <x:v>9021</x:v>
      </x:c>
      <x:c r="L82" s="15" t="n">
        <x:f>IF(E82=0,0,K82/E82*4.33)</x:f>
        <x:v>3.0003018665028036</x:v>
      </x:c>
      <x:c r="M82" s="9" t="str">
        <x:f>IF(K82&lt;0,"SHORTAGE",IF(K82&lt;G82,"BELOW TARGET","ON TARGET"))</x:f>
        <x:v>ON TARGET</x:v>
      </x:c>
    </x:row>
    <x:row r="83" ht="25" customHeight="1">
      <x:c r="A83" s="11" t="n">
        <x:f>Demand!A83</x:f>
        <x:v>46661</x:v>
      </x:c>
      <x:c r="B83" s="9" t="str">
        <x:f>Demand!B83</x:f>
        <x:v>WH-1</x:v>
      </x:c>
      <x:c r="C83" s="9" t="str">
        <x:f>Demand!C83</x:f>
        <x:v>DEMO-03</x:v>
      </x:c>
      <x:c r="D83" s="12" t="n">
        <x:f>K75</x:f>
        <x:v>8514</x:v>
      </x:c>
      <x:c r="E83" s="12" t="n">
        <x:f>MAX(Demand!D83,Demand!E83)</x:f>
        <x:v>12624</x:v>
      </x:c>
      <x:c r="F83" s="12" t="n">
        <x:f>Demand!F83</x:f>
        <x:v>0</x:v>
      </x:c>
      <x:c r="G83" s="12" t="n">
        <x:f>IF(Inputs!K11="MTO",0,ROUNDUP(E83*Inputs!J11/4.33,0))</x:f>
        <x:v>8747</x:v>
      </x:c>
      <x:c r="H83" s="12" t="n">
        <x:f>MAX(0,E83+G83-D83-F83)</x:f>
        <x:v>12857</x:v>
      </x:c>
      <x:c r="I83" s="12" t="n">
        <x:f>Demand!G83</x:f>
        <x:v>0</x:v>
      </x:c>
      <x:c r="J83" s="12" t="n">
        <x:f>MAX(0,H83+I83)</x:f>
        <x:v>12857</x:v>
      </x:c>
      <x:c r="K83" s="12" t="n">
        <x:f>D83+F83+J83-E83</x:f>
        <x:v>8747</x:v>
      </x:c>
      <x:c r="L83" s="15" t="n">
        <x:f>IF(E83=0,0,K83/E83*4.33)</x:f>
        <x:v>3.0001988276299114</x:v>
      </x:c>
      <x:c r="M83" s="9" t="str">
        <x:f>IF(K83&lt;0,"SHORTAGE",IF(K83&lt;G83,"BELOW TARGET","ON TARGET"))</x:f>
        <x:v>ON TARGET</x:v>
      </x:c>
    </x:row>
    <x:row r="84" ht="25" customHeight="1">
      <x:c r="A84" s="11" t="n">
        <x:f>Demand!A84</x:f>
        <x:v>46661</x:v>
      </x:c>
      <x:c r="B84" s="9" t="str">
        <x:f>Demand!B84</x:f>
        <x:v>WH-2</x:v>
      </x:c>
      <x:c r="C84" s="9" t="str">
        <x:f>Demand!C84</x:f>
        <x:v>DEMO-03</x:v>
      </x:c>
      <x:c r="D84" s="12" t="n">
        <x:f>K76</x:f>
        <x:v>9933</x:v>
      </x:c>
      <x:c r="E84" s="12" t="n">
        <x:f>MAX(Demand!D84,Demand!E84)</x:f>
        <x:v>14728</x:v>
      </x:c>
      <x:c r="F84" s="12" t="n">
        <x:f>Demand!F84</x:f>
        <x:v>0</x:v>
      </x:c>
      <x:c r="G84" s="12" t="n">
        <x:f>IF(Inputs!K12="MTO",0,ROUNDUP(E84*Inputs!J12/4.33,0))</x:f>
        <x:v>10205</x:v>
      </x:c>
      <x:c r="H84" s="12" t="n">
        <x:f>MAX(0,E84+G84-D84-F84)</x:f>
        <x:v>15000</x:v>
      </x:c>
      <x:c r="I84" s="12" t="n">
        <x:f>Demand!G84</x:f>
        <x:v>0</x:v>
      </x:c>
      <x:c r="J84" s="12" t="n">
        <x:f>MAX(0,H84+I84)</x:f>
        <x:v>15000</x:v>
      </x:c>
      <x:c r="K84" s="12" t="n">
        <x:f>D84+F84+J84-E84</x:f>
        <x:v>10205</x:v>
      </x:c>
      <x:c r="L84" s="15" t="n">
        <x:f>IF(E84=0,0,K84/E84*4.33)</x:f>
        <x:v>3.0002478272677893</x:v>
      </x:c>
      <x:c r="M84" s="9" t="str">
        <x:f>IF(K84&lt;0,"SHORTAGE",IF(K84&lt;G84,"BELOW TARGET","ON TARGET"))</x:f>
        <x:v>ON TARGET</x:v>
      </x:c>
    </x:row>
    <x:row r="85" ht="25" customHeight="1">
      <x:c r="A85" s="11" t="n">
        <x:f>Demand!A85</x:f>
        <x:v>46661</x:v>
      </x:c>
      <x:c r="B85" s="9" t="str">
        <x:f>Demand!B85</x:f>
        <x:v>WH-1</x:v>
      </x:c>
      <x:c r="C85" s="9" t="str">
        <x:f>Demand!C85</x:f>
        <x:v>DEMO-04</x:v>
      </x:c>
      <x:c r="D85" s="12" t="n">
        <x:f>K77</x:f>
        <x:v>0</x:v>
      </x:c>
      <x:c r="E85" s="12" t="n">
        <x:f>MAX(Demand!D85,Demand!E85)</x:f>
        <x:v>14334</x:v>
      </x:c>
      <x:c r="F85" s="12" t="n">
        <x:f>Demand!F85</x:f>
        <x:v>0</x:v>
      </x:c>
      <x:c r="G85" s="12" t="n">
        <x:f>IF(Inputs!K13="MTO",0,ROUNDUP(E85*Inputs!J13/4.33,0))</x:f>
        <x:v>0</x:v>
      </x:c>
      <x:c r="H85" s="12" t="n">
        <x:f>MAX(0,E85+G85-D85-F85)</x:f>
        <x:v>14334</x:v>
      </x:c>
      <x:c r="I85" s="12" t="n">
        <x:f>Demand!G85</x:f>
        <x:v>0</x:v>
      </x:c>
      <x:c r="J85" s="12" t="n">
        <x:f>MAX(0,H85+I85)</x:f>
        <x:v>14334</x:v>
      </x:c>
      <x:c r="K85" s="12" t="n">
        <x:f>D85+F85+J85-E85</x:f>
        <x:v>0</x:v>
      </x:c>
      <x:c r="L85" s="15" t="n">
        <x:f>IF(E85=0,0,K85/E85*4.33)</x:f>
        <x:v>0</x:v>
      </x:c>
      <x:c r="M85" s="9" t="str">
        <x:f>IF(K85&lt;0,"SHORTAGE",IF(K85&lt;G85,"BELOW TARGET","ON TARGET"))</x:f>
        <x:v>ON TARGET</x:v>
      </x:c>
    </x:row>
    <x:row r="86" ht="25" customHeight="1">
      <x:c r="A86" s="11" t="n">
        <x:f>Demand!A86</x:f>
        <x:v>46661</x:v>
      </x:c>
      <x:c r="B86" s="9" t="str">
        <x:f>Demand!B86</x:f>
        <x:v>WH-2</x:v>
      </x:c>
      <x:c r="C86" s="9" t="str">
        <x:f>Demand!C86</x:f>
        <x:v>DEMO-04</x:v>
      </x:c>
      <x:c r="D86" s="12" t="n">
        <x:f>K78</x:f>
        <x:v>0</x:v>
      </x:c>
      <x:c r="E86" s="12" t="n">
        <x:f>MAX(Demand!D86,Demand!E86)</x:f>
        <x:v>16438</x:v>
      </x:c>
      <x:c r="F86" s="12" t="n">
        <x:f>Demand!F86</x:f>
        <x:v>0</x:v>
      </x:c>
      <x:c r="G86" s="12" t="n">
        <x:f>IF(Inputs!K14="MTO",0,ROUNDUP(E86*Inputs!J14/4.33,0))</x:f>
        <x:v>0</x:v>
      </x:c>
      <x:c r="H86" s="12" t="n">
        <x:f>MAX(0,E86+G86-D86-F86)</x:f>
        <x:v>16438</x:v>
      </x:c>
      <x:c r="I86" s="12" t="n">
        <x:f>Demand!G86</x:f>
        <x:v>0</x:v>
      </x:c>
      <x:c r="J86" s="12" t="n">
        <x:f>MAX(0,H86+I86)</x:f>
        <x:v>16438</x:v>
      </x:c>
      <x:c r="K86" s="12" t="n">
        <x:f>D86+F86+J86-E86</x:f>
        <x:v>0</x:v>
      </x:c>
      <x:c r="L86" s="15" t="n">
        <x:f>IF(E86=0,0,K86/E86*4.33)</x:f>
        <x:v>0</x:v>
      </x:c>
      <x:c r="M86" s="9" t="str">
        <x:f>IF(K86&lt;0,"SHORTAGE",IF(K86&lt;G86,"BELOW TARGET","ON TARGET"))</x:f>
        <x:v>ON TARGET</x:v>
      </x:c>
    </x:row>
    <x:row r="87" ht="25" customHeight="1">
      <x:c r="A87" s="11" t="n">
        <x:f>Demand!A87</x:f>
        <x:v>46692</x:v>
      </x:c>
      <x:c r="B87" s="9" t="str">
        <x:f>Demand!B87</x:f>
        <x:v>WH-1</x:v>
      </x:c>
      <x:c r="C87" s="9" t="str">
        <x:f>Demand!C87</x:f>
        <x:v>DEMO-01</x:v>
      </x:c>
      <x:c r="D87" s="12" t="n">
        <x:f>K79</x:f>
        <x:v>6378</x:v>
      </x:c>
      <x:c r="E87" s="12" t="n">
        <x:f>MAX(Demand!D87,Demand!E87)</x:f>
        <x:v>9450</x:v>
      </x:c>
      <x:c r="F87" s="12" t="n">
        <x:f>Demand!F87</x:f>
        <x:v>0</x:v>
      </x:c>
      <x:c r="G87" s="12" t="n">
        <x:f>IF(Inputs!K7="MTO",0,ROUNDUP(E87*Inputs!J7/4.33,0))</x:f>
        <x:v>6548</x:v>
      </x:c>
      <x:c r="H87" s="12" t="n">
        <x:f>MAX(0,E87+G87-D87-F87)</x:f>
        <x:v>9620</x:v>
      </x:c>
      <x:c r="I87" s="12" t="n">
        <x:f>Demand!G87</x:f>
        <x:v>0</x:v>
      </x:c>
      <x:c r="J87" s="12" t="n">
        <x:f>MAX(0,H87+I87)</x:f>
        <x:v>9620</x:v>
      </x:c>
      <x:c r="K87" s="12" t="n">
        <x:f>D87+F87+J87-E87</x:f>
        <x:v>6548</x:v>
      </x:c>
      <x:c r="L87" s="15" t="n">
        <x:f>IF(E87=0,0,K87/E87*4.33)</x:f>
        <x:v>3.0003005291005294</x:v>
      </x:c>
      <x:c r="M87" s="9" t="str">
        <x:f>IF(K87&lt;0,"SHORTAGE",IF(K87&lt;G87,"BELOW TARGET","ON TARGET"))</x:f>
        <x:v>ON TARGET</x:v>
      </x:c>
    </x:row>
    <x:row r="88" ht="25" customHeight="1">
      <x:c r="A88" s="11" t="n">
        <x:f>Demand!A88</x:f>
        <x:v>46692</x:v>
      </x:c>
      <x:c r="B88" s="9" t="str">
        <x:f>Demand!B88</x:f>
        <x:v>WH-2</x:v>
      </x:c>
      <x:c r="C88" s="9" t="str">
        <x:f>Demand!C88</x:f>
        <x:v>DEMO-01</x:v>
      </x:c>
      <x:c r="D88" s="12" t="n">
        <x:f>K80</x:f>
        <x:v>7836</x:v>
      </x:c>
      <x:c r="E88" s="12" t="n">
        <x:f>MAX(Demand!D88,Demand!E88)</x:f>
        <x:v>11610</x:v>
      </x:c>
      <x:c r="F88" s="12" t="n">
        <x:f>Demand!F88</x:f>
        <x:v>0</x:v>
      </x:c>
      <x:c r="G88" s="12" t="n">
        <x:f>IF(Inputs!K8="MTO",0,ROUNDUP(E88*Inputs!J8/4.33,0))</x:f>
        <x:v>8044</x:v>
      </x:c>
      <x:c r="H88" s="12" t="n">
        <x:f>MAX(0,E88+G88-D88-F88)</x:f>
        <x:v>11818</x:v>
      </x:c>
      <x:c r="I88" s="12" t="n">
        <x:f>Demand!G88</x:f>
        <x:v>0</x:v>
      </x:c>
      <x:c r="J88" s="12" t="n">
        <x:f>MAX(0,H88+I88)</x:f>
        <x:v>11818</x:v>
      </x:c>
      <x:c r="K88" s="12" t="n">
        <x:f>D88+F88+J88-E88</x:f>
        <x:v>8044</x:v>
      </x:c>
      <x:c r="L88" s="15" t="n">
        <x:f>IF(E88=0,0,K88/E88*4.33)</x:f>
        <x:v>3.0000447889750217</x:v>
      </x:c>
      <x:c r="M88" s="9" t="str">
        <x:f>IF(K88&lt;0,"SHORTAGE",IF(K88&lt;G88,"BELOW TARGET","ON TARGET"))</x:f>
        <x:v>ON TARGET</x:v>
      </x:c>
    </x:row>
    <x:row r="89" ht="25" customHeight="1">
      <x:c r="A89" s="11" t="n">
        <x:f>Demand!A89</x:f>
        <x:v>46692</x:v>
      </x:c>
      <x:c r="B89" s="9" t="str">
        <x:f>Demand!B89</x:f>
        <x:v>WH-1</x:v>
      </x:c>
      <x:c r="C89" s="9" t="str">
        <x:f>Demand!C89</x:f>
        <x:v>DEMO-02</x:v>
      </x:c>
      <x:c r="D89" s="12" t="n">
        <x:f>K81</x:f>
        <x:v>7563</x:v>
      </x:c>
      <x:c r="E89" s="12" t="n">
        <x:f>MAX(Demand!D89,Demand!E89)</x:f>
        <x:v>11205</x:v>
      </x:c>
      <x:c r="F89" s="12" t="n">
        <x:f>Demand!F89</x:f>
        <x:v>0</x:v>
      </x:c>
      <x:c r="G89" s="12" t="n">
        <x:f>IF(Inputs!K9="MTO",0,ROUNDUP(E89*Inputs!J9/4.33,0))</x:f>
        <x:v>7764</x:v>
      </x:c>
      <x:c r="H89" s="12" t="n">
        <x:f>MAX(0,E89+G89-D89-F89)</x:f>
        <x:v>11406</x:v>
      </x:c>
      <x:c r="I89" s="12" t="n">
        <x:f>Demand!G89</x:f>
        <x:v>0</x:v>
      </x:c>
      <x:c r="J89" s="12" t="n">
        <x:f>MAX(0,H89+I89)</x:f>
        <x:v>11406</x:v>
      </x:c>
      <x:c r="K89" s="12" t="n">
        <x:f>D89+F89+J89-E89</x:f>
        <x:v>7764</x:v>
      </x:c>
      <x:c r="L89" s="15" t="n">
        <x:f>IF(E89=0,0,K89/E89*4.33)</x:f>
        <x:v>3.0002784471218207</x:v>
      </x:c>
      <x:c r="M89" s="9" t="str">
        <x:f>IF(K89&lt;0,"SHORTAGE",IF(K89&lt;G89,"BELOW TARGET","ON TARGET"))</x:f>
        <x:v>ON TARGET</x:v>
      </x:c>
    </x:row>
    <x:row r="90" ht="25" customHeight="1">
      <x:c r="A90" s="11" t="n">
        <x:f>Demand!A90</x:f>
        <x:v>46692</x:v>
      </x:c>
      <x:c r="B90" s="9" t="str">
        <x:f>Demand!B90</x:f>
        <x:v>WH-2</x:v>
      </x:c>
      <x:c r="C90" s="9" t="str">
        <x:f>Demand!C90</x:f>
        <x:v>DEMO-02</x:v>
      </x:c>
      <x:c r="D90" s="12" t="n">
        <x:f>K82</x:f>
        <x:v>9021</x:v>
      </x:c>
      <x:c r="E90" s="12" t="n">
        <x:f>MAX(Demand!D90,Demand!E90)</x:f>
        <x:v>13365</x:v>
      </x:c>
      <x:c r="F90" s="12" t="n">
        <x:f>Demand!F90</x:f>
        <x:v>0</x:v>
      </x:c>
      <x:c r="G90" s="12" t="n">
        <x:f>IF(Inputs!K10="MTO",0,ROUNDUP(E90*Inputs!J10/4.33,0))</x:f>
        <x:v>9260</x:v>
      </x:c>
      <x:c r="H90" s="12" t="n">
        <x:f>MAX(0,E90+G90-D90-F90)</x:f>
        <x:v>13604</x:v>
      </x:c>
      <x:c r="I90" s="12" t="n">
        <x:f>Demand!G90</x:f>
        <x:v>0</x:v>
      </x:c>
      <x:c r="J90" s="12" t="n">
        <x:f>MAX(0,H90+I90)</x:f>
        <x:v>13604</x:v>
      </x:c>
      <x:c r="K90" s="12" t="n">
        <x:f>D90+F90+J90-E90</x:f>
        <x:v>9260</x:v>
      </x:c>
      <x:c r="L90" s="15" t="n">
        <x:f>IF(E90=0,0,K90/E90*4.33)</x:f>
        <x:v>3.0000598578376354</x:v>
      </x:c>
      <x:c r="M90" s="9" t="str">
        <x:f>IF(K90&lt;0,"SHORTAGE",IF(K90&lt;G90,"BELOW TARGET","ON TARGET"))</x:f>
        <x:v>ON TARGET</x:v>
      </x:c>
    </x:row>
    <x:row r="91" ht="25" customHeight="1">
      <x:c r="A91" s="11" t="n">
        <x:f>Demand!A91</x:f>
        <x:v>46692</x:v>
      </x:c>
      <x:c r="B91" s="9" t="str">
        <x:f>Demand!B91</x:f>
        <x:v>WH-1</x:v>
      </x:c>
      <x:c r="C91" s="9" t="str">
        <x:f>Demand!C91</x:f>
        <x:v>DEMO-03</x:v>
      </x:c>
      <x:c r="D91" s="12" t="n">
        <x:f>K83</x:f>
        <x:v>8747</x:v>
      </x:c>
      <x:c r="E91" s="12" t="n">
        <x:f>MAX(Demand!D91,Demand!E91)</x:f>
        <x:v>12960</x:v>
      </x:c>
      <x:c r="F91" s="12" t="n">
        <x:f>Demand!F91</x:f>
        <x:v>0</x:v>
      </x:c>
      <x:c r="G91" s="12" t="n">
        <x:f>IF(Inputs!K11="MTO",0,ROUNDUP(E91*Inputs!J11/4.33,0))</x:f>
        <x:v>8980</x:v>
      </x:c>
      <x:c r="H91" s="12" t="n">
        <x:f>MAX(0,E91+G91-D91-F91)</x:f>
        <x:v>13193</x:v>
      </x:c>
      <x:c r="I91" s="12" t="n">
        <x:f>Demand!G91</x:f>
        <x:v>0</x:v>
      </x:c>
      <x:c r="J91" s="12" t="n">
        <x:f>MAX(0,H91+I91)</x:f>
        <x:v>13193</x:v>
      </x:c>
      <x:c r="K91" s="12" t="n">
        <x:f>D91+F91+J91-E91</x:f>
        <x:v>8980</x:v>
      </x:c>
      <x:c r="L91" s="15" t="n">
        <x:f>IF(E91=0,0,K91/E91*4.33)</x:f>
        <x:v>3.0002623456790123</x:v>
      </x:c>
      <x:c r="M91" s="9" t="str">
        <x:f>IF(K91&lt;0,"SHORTAGE",IF(K91&lt;G91,"BELOW TARGET","ON TARGET"))</x:f>
        <x:v>ON TARGET</x:v>
      </x:c>
    </x:row>
    <x:row r="92" ht="25" customHeight="1">
      <x:c r="A92" s="11" t="n">
        <x:f>Demand!A92</x:f>
        <x:v>46692</x:v>
      </x:c>
      <x:c r="B92" s="9" t="str">
        <x:f>Demand!B92</x:f>
        <x:v>WH-2</x:v>
      </x:c>
      <x:c r="C92" s="9" t="str">
        <x:f>Demand!C92</x:f>
        <x:v>DEMO-03</x:v>
      </x:c>
      <x:c r="D92" s="12" t="n">
        <x:f>K84</x:f>
        <x:v>10205</x:v>
      </x:c>
      <x:c r="E92" s="12" t="n">
        <x:f>MAX(Demand!D92,Demand!E92)</x:f>
        <x:v>15120</x:v>
      </x:c>
      <x:c r="F92" s="12" t="n">
        <x:f>Demand!F92</x:f>
        <x:v>0</x:v>
      </x:c>
      <x:c r="G92" s="12" t="n">
        <x:f>IF(Inputs!K12="MTO",0,ROUNDUP(E92*Inputs!J12/4.33,0))</x:f>
        <x:v>10476</x:v>
      </x:c>
      <x:c r="H92" s="12" t="n">
        <x:f>MAX(0,E92+G92-D92-F92)</x:f>
        <x:v>15391</x:v>
      </x:c>
      <x:c r="I92" s="12" t="n">
        <x:f>Demand!G92</x:f>
        <x:v>0</x:v>
      </x:c>
      <x:c r="J92" s="12" t="n">
        <x:f>MAX(0,H92+I92)</x:f>
        <x:v>15391</x:v>
      </x:c>
      <x:c r="K92" s="12" t="n">
        <x:f>D92+F92+J92-E92</x:f>
        <x:v>10476</x:v>
      </x:c>
      <x:c r="L92" s="15" t="n">
        <x:f>IF(E92=0,0,K92/E92*4.33)</x:f>
        <x:v>3.0000714285714287</x:v>
      </x:c>
      <x:c r="M92" s="9" t="str">
        <x:f>IF(K92&lt;0,"SHORTAGE",IF(K92&lt;G92,"BELOW TARGET","ON TARGET"))</x:f>
        <x:v>ON TARGET</x:v>
      </x:c>
    </x:row>
    <x:row r="93" ht="25" customHeight="1">
      <x:c r="A93" s="11" t="n">
        <x:f>Demand!A93</x:f>
        <x:v>46692</x:v>
      </x:c>
      <x:c r="B93" s="9" t="str">
        <x:f>Demand!B93</x:f>
        <x:v>WH-1</x:v>
      </x:c>
      <x:c r="C93" s="9" t="str">
        <x:f>Demand!C93</x:f>
        <x:v>DEMO-04</x:v>
      </x:c>
      <x:c r="D93" s="12" t="n">
        <x:f>K85</x:f>
        <x:v>0</x:v>
      </x:c>
      <x:c r="E93" s="12" t="n">
        <x:f>MAX(Demand!D93,Demand!E93)</x:f>
        <x:v>14715</x:v>
      </x:c>
      <x:c r="F93" s="12" t="n">
        <x:f>Demand!F93</x:f>
        <x:v>0</x:v>
      </x:c>
      <x:c r="G93" s="12" t="n">
        <x:f>IF(Inputs!K13="MTO",0,ROUNDUP(E93*Inputs!J13/4.33,0))</x:f>
        <x:v>0</x:v>
      </x:c>
      <x:c r="H93" s="12" t="n">
        <x:f>MAX(0,E93+G93-D93-F93)</x:f>
        <x:v>14715</x:v>
      </x:c>
      <x:c r="I93" s="12" t="n">
        <x:f>Demand!G93</x:f>
        <x:v>0</x:v>
      </x:c>
      <x:c r="J93" s="12" t="n">
        <x:f>MAX(0,H93+I93)</x:f>
        <x:v>14715</x:v>
      </x:c>
      <x:c r="K93" s="12" t="n">
        <x:f>D93+F93+J93-E93</x:f>
        <x:v>0</x:v>
      </x:c>
      <x:c r="L93" s="15" t="n">
        <x:f>IF(E93=0,0,K93/E93*4.33)</x:f>
        <x:v>0</x:v>
      </x:c>
      <x:c r="M93" s="9" t="str">
        <x:f>IF(K93&lt;0,"SHORTAGE",IF(K93&lt;G93,"BELOW TARGET","ON TARGET"))</x:f>
        <x:v>ON TARGET</x:v>
      </x:c>
    </x:row>
    <x:row r="94" ht="25" customHeight="1">
      <x:c r="A94" s="11" t="n">
        <x:f>Demand!A94</x:f>
        <x:v>46692</x:v>
      </x:c>
      <x:c r="B94" s="9" t="str">
        <x:f>Demand!B94</x:f>
        <x:v>WH-2</x:v>
      </x:c>
      <x:c r="C94" s="9" t="str">
        <x:f>Demand!C94</x:f>
        <x:v>DEMO-04</x:v>
      </x:c>
      <x:c r="D94" s="12" t="n">
        <x:f>K86</x:f>
        <x:v>0</x:v>
      </x:c>
      <x:c r="E94" s="12" t="n">
        <x:f>MAX(Demand!D94,Demand!E94)</x:f>
        <x:v>16875</x:v>
      </x:c>
      <x:c r="F94" s="12" t="n">
        <x:f>Demand!F94</x:f>
        <x:v>0</x:v>
      </x:c>
      <x:c r="G94" s="12" t="n">
        <x:f>IF(Inputs!K14="MTO",0,ROUNDUP(E94*Inputs!J14/4.33,0))</x:f>
        <x:v>0</x:v>
      </x:c>
      <x:c r="H94" s="12" t="n">
        <x:f>MAX(0,E94+G94-D94-F94)</x:f>
        <x:v>16875</x:v>
      </x:c>
      <x:c r="I94" s="12" t="n">
        <x:f>Demand!G94</x:f>
        <x:v>0</x:v>
      </x:c>
      <x:c r="J94" s="12" t="n">
        <x:f>MAX(0,H94+I94)</x:f>
        <x:v>16875</x:v>
      </x:c>
      <x:c r="K94" s="12" t="n">
        <x:f>D94+F94+J94-E94</x:f>
        <x:v>0</x:v>
      </x:c>
      <x:c r="L94" s="15" t="n">
        <x:f>IF(E94=0,0,K94/E94*4.33)</x:f>
        <x:v>0</x:v>
      </x:c>
      <x:c r="M94" s="9" t="str">
        <x:f>IF(K94&lt;0,"SHORTAGE",IF(K94&lt;G94,"BELOW TARGET","ON TARGET"))</x:f>
        <x:v>ON TARGET</x:v>
      </x:c>
    </x:row>
    <x:row r="95" ht="25" customHeight="1">
      <x:c r="A95" s="11" t="n">
        <x:f>Demand!A95</x:f>
        <x:v>46722</x:v>
      </x:c>
      <x:c r="B95" s="9" t="str">
        <x:f>Demand!B95</x:f>
        <x:v>WH-1</x:v>
      </x:c>
      <x:c r="C95" s="9" t="str">
        <x:f>Demand!C95</x:f>
        <x:v>DEMO-01</x:v>
      </x:c>
      <x:c r="D95" s="12" t="n">
        <x:f>K87</x:f>
        <x:v>6548</x:v>
      </x:c>
      <x:c r="E95" s="12" t="n">
        <x:f>MAX(Demand!D95,Demand!E95)</x:f>
        <x:v>9695</x:v>
      </x:c>
      <x:c r="F95" s="12" t="n">
        <x:f>Demand!F95</x:f>
        <x:v>0</x:v>
      </x:c>
      <x:c r="G95" s="12" t="n">
        <x:f>IF(Inputs!K7="MTO",0,ROUNDUP(E95*Inputs!J7/4.33,0))</x:f>
        <x:v>6718</x:v>
      </x:c>
      <x:c r="H95" s="12" t="n">
        <x:f>MAX(0,E95+G95-D95-F95)</x:f>
        <x:v>9865</x:v>
      </x:c>
      <x:c r="I95" s="12" t="n">
        <x:f>Demand!G95</x:f>
        <x:v>0</x:v>
      </x:c>
      <x:c r="J95" s="12" t="n">
        <x:f>MAX(0,H95+I95)</x:f>
        <x:v>9865</x:v>
      </x:c>
      <x:c r="K95" s="12" t="n">
        <x:f>D95+F95+J95-E95</x:f>
        <x:v>6718</x:v>
      </x:c>
      <x:c r="L95" s="15" t="n">
        <x:f>IF(E95=0,0,K95/E95*4.33)</x:f>
        <x:v>3.0004063950489943</x:v>
      </x:c>
      <x:c r="M95" s="9" t="str">
        <x:f>IF(K95&lt;0,"SHORTAGE",IF(K95&lt;G95,"BELOW TARGET","ON TARGET"))</x:f>
        <x:v>ON TARGET</x:v>
      </x:c>
    </x:row>
    <x:row r="96" ht="25" customHeight="1">
      <x:c r="A96" s="11" t="n">
        <x:f>Demand!A96</x:f>
        <x:v>46722</x:v>
      </x:c>
      <x:c r="B96" s="9" t="str">
        <x:f>Demand!B96</x:f>
        <x:v>WH-2</x:v>
      </x:c>
      <x:c r="C96" s="9" t="str">
        <x:f>Demand!C96</x:f>
        <x:v>DEMO-01</x:v>
      </x:c>
      <x:c r="D96" s="12" t="n">
        <x:f>K88</x:f>
        <x:v>8044</x:v>
      </x:c>
      <x:c r="E96" s="12" t="n">
        <x:f>MAX(Demand!D96,Demand!E96)</x:f>
        <x:v>11911</x:v>
      </x:c>
      <x:c r="F96" s="12" t="n">
        <x:f>Demand!F96</x:f>
        <x:v>0</x:v>
      </x:c>
      <x:c r="G96" s="12" t="n">
        <x:f>IF(Inputs!K8="MTO",0,ROUNDUP(E96*Inputs!J8/4.33,0))</x:f>
        <x:v>8253</x:v>
      </x:c>
      <x:c r="H96" s="12" t="n">
        <x:f>MAX(0,E96+G96-D96-F96)</x:f>
        <x:v>12120</x:v>
      </x:c>
      <x:c r="I96" s="12" t="n">
        <x:f>Demand!G96</x:f>
        <x:v>0</x:v>
      </x:c>
      <x:c r="J96" s="12" t="n">
        <x:f>MAX(0,H96+I96)</x:f>
        <x:v>12120</x:v>
      </x:c>
      <x:c r="K96" s="12" t="n">
        <x:f>D96+F96+J96-E96</x:f>
        <x:v>8253</x:v>
      </x:c>
      <x:c r="L96" s="15" t="n">
        <x:f>IF(E96=0,0,K96/E96*4.33)</x:f>
        <x:v>3.0002090504575603</x:v>
      </x:c>
      <x:c r="M96" s="9" t="str">
        <x:f>IF(K96&lt;0,"SHORTAGE",IF(K96&lt;G96,"BELOW TARGET","ON TARGET"))</x:f>
        <x:v>ON TARGET</x:v>
      </x:c>
    </x:row>
    <x:row r="97" ht="25" customHeight="1">
      <x:c r="A97" s="11" t="n">
        <x:f>Demand!A97</x:f>
        <x:v>46722</x:v>
      </x:c>
      <x:c r="B97" s="9" t="str">
        <x:f>Demand!B97</x:f>
        <x:v>WH-1</x:v>
      </x:c>
      <x:c r="C97" s="9" t="str">
        <x:f>Demand!C97</x:f>
        <x:v>DEMO-02</x:v>
      </x:c>
      <x:c r="D97" s="12" t="n">
        <x:f>K89</x:f>
        <x:v>7764</x:v>
      </x:c>
      <x:c r="E97" s="12" t="n">
        <x:f>MAX(Demand!D97,Demand!E97)</x:f>
        <x:v>11496</x:v>
      </x:c>
      <x:c r="F97" s="12" t="n">
        <x:f>Demand!F97</x:f>
        <x:v>0</x:v>
      </x:c>
      <x:c r="G97" s="12" t="n">
        <x:f>IF(Inputs!K9="MTO",0,ROUNDUP(E97*Inputs!J9/4.33,0))</x:f>
        <x:v>7965</x:v>
      </x:c>
      <x:c r="H97" s="12" t="n">
        <x:f>MAX(0,E97+G97-D97-F97)</x:f>
        <x:v>11697</x:v>
      </x:c>
      <x:c r="I97" s="12" t="n">
        <x:f>Demand!G97</x:f>
        <x:v>0</x:v>
      </x:c>
      <x:c r="J97" s="12" t="n">
        <x:f>MAX(0,H97+I97)</x:f>
        <x:v>11697</x:v>
      </x:c>
      <x:c r="K97" s="12" t="n">
        <x:f>D97+F97+J97-E97</x:f>
        <x:v>7965</x:v>
      </x:c>
      <x:c r="L97" s="15" t="n">
        <x:f>IF(E97=0,0,K97/E97*4.33)</x:f>
        <x:v>3.0000391440501044</x:v>
      </x:c>
      <x:c r="M97" s="9" t="str">
        <x:f>IF(K97&lt;0,"SHORTAGE",IF(K97&lt;G97,"BELOW TARGET","ON TARGET"))</x:f>
        <x:v>ON TARGET</x:v>
      </x:c>
    </x:row>
    <x:row r="98" ht="25" customHeight="1">
      <x:c r="A98" s="11" t="n">
        <x:f>Demand!A98</x:f>
        <x:v>46722</x:v>
      </x:c>
      <x:c r="B98" s="9" t="str">
        <x:f>Demand!B98</x:f>
        <x:v>WH-2</x:v>
      </x:c>
      <x:c r="C98" s="9" t="str">
        <x:f>Demand!C98</x:f>
        <x:v>DEMO-02</x:v>
      </x:c>
      <x:c r="D98" s="12" t="n">
        <x:f>K90</x:f>
        <x:v>9260</x:v>
      </x:c>
      <x:c r="E98" s="12" t="n">
        <x:f>MAX(Demand!D98,Demand!E98)</x:f>
        <x:v>13712</x:v>
      </x:c>
      <x:c r="F98" s="12" t="n">
        <x:f>Demand!F98</x:f>
        <x:v>0</x:v>
      </x:c>
      <x:c r="G98" s="12" t="n">
        <x:f>IF(Inputs!K10="MTO",0,ROUNDUP(E98*Inputs!J10/4.33,0))</x:f>
        <x:v>9501</x:v>
      </x:c>
      <x:c r="H98" s="12" t="n">
        <x:f>MAX(0,E98+G98-D98-F98)</x:f>
        <x:v>13953</x:v>
      </x:c>
      <x:c r="I98" s="12" t="n">
        <x:f>Demand!G98</x:f>
        <x:v>0</x:v>
      </x:c>
      <x:c r="J98" s="12" t="n">
        <x:f>MAX(0,H98+I98)</x:f>
        <x:v>13953</x:v>
      </x:c>
      <x:c r="K98" s="12" t="n">
        <x:f>D98+F98+J98-E98</x:f>
        <x:v>9501</x:v>
      </x:c>
      <x:c r="L98" s="15" t="n">
        <x:f>IF(E98=0,0,K98/E98*4.33)</x:f>
        <x:v>3.000242852975496</x:v>
      </x:c>
      <x:c r="M98" s="9" t="str">
        <x:f>IF(K98&lt;0,"SHORTAGE",IF(K98&lt;G98,"BELOW TARGET","ON TARGET"))</x:f>
        <x:v>ON TARGET</x:v>
      </x:c>
    </x:row>
    <x:row r="99" ht="25" customHeight="1">
      <x:c r="A99" s="11" t="n">
        <x:f>Demand!A99</x:f>
        <x:v>46722</x:v>
      </x:c>
      <x:c r="B99" s="9" t="str">
        <x:f>Demand!B99</x:f>
        <x:v>WH-1</x:v>
      </x:c>
      <x:c r="C99" s="9" t="str">
        <x:f>Demand!C99</x:f>
        <x:v>DEMO-03</x:v>
      </x:c>
      <x:c r="D99" s="12" t="n">
        <x:f>K91</x:f>
        <x:v>8980</x:v>
      </x:c>
      <x:c r="E99" s="12" t="n">
        <x:f>MAX(Demand!D99,Demand!E99)</x:f>
        <x:v>13296</x:v>
      </x:c>
      <x:c r="F99" s="12" t="n">
        <x:f>Demand!F99</x:f>
        <x:v>0</x:v>
      </x:c>
      <x:c r="G99" s="12" t="n">
        <x:f>IF(Inputs!K11="MTO",0,ROUNDUP(E99*Inputs!J11/4.33,0))</x:f>
        <x:v>9213</x:v>
      </x:c>
      <x:c r="H99" s="12" t="n">
        <x:f>MAX(0,E99+G99-D99-F99)</x:f>
        <x:v>13529</x:v>
      </x:c>
      <x:c r="I99" s="12" t="n">
        <x:f>Demand!G99</x:f>
        <x:v>0</x:v>
      </x:c>
      <x:c r="J99" s="12" t="n">
        <x:f>MAX(0,H99+I99)</x:f>
        <x:v>13529</x:v>
      </x:c>
      <x:c r="K99" s="12" t="n">
        <x:f>D99+F99+J99-E99</x:f>
        <x:v>9213</x:v>
      </x:c>
      <x:c r="L99" s="15" t="n">
        <x:f>IF(E99=0,0,K99/E99*4.33)</x:f>
        <x:v>3.0003226534296026</x:v>
      </x:c>
      <x:c r="M99" s="9" t="str">
        <x:f>IF(K99&lt;0,"SHORTAGE",IF(K99&lt;G99,"BELOW TARGET","ON TARGET"))</x:f>
        <x:v>ON TARGET</x:v>
      </x:c>
    </x:row>
    <x:row r="100" ht="25" customHeight="1">
      <x:c r="A100" s="11" t="n">
        <x:f>Demand!A100</x:f>
        <x:v>46722</x:v>
      </x:c>
      <x:c r="B100" s="9" t="str">
        <x:f>Demand!B100</x:f>
        <x:v>WH-2</x:v>
      </x:c>
      <x:c r="C100" s="9" t="str">
        <x:f>Demand!C100</x:f>
        <x:v>DEMO-03</x:v>
      </x:c>
      <x:c r="D100" s="12" t="n">
        <x:f>K92</x:f>
        <x:v>10476</x:v>
      </x:c>
      <x:c r="E100" s="12" t="n">
        <x:f>MAX(Demand!D100,Demand!E100)</x:f>
        <x:v>15512</x:v>
      </x:c>
      <x:c r="F100" s="12" t="n">
        <x:f>Demand!F100</x:f>
        <x:v>0</x:v>
      </x:c>
      <x:c r="G100" s="12" t="n">
        <x:f>IF(Inputs!K12="MTO",0,ROUNDUP(E100*Inputs!J12/4.33,0))</x:f>
        <x:v>10748</x:v>
      </x:c>
      <x:c r="H100" s="12" t="n">
        <x:f>MAX(0,E100+G100-D100-F100)</x:f>
        <x:v>15784</x:v>
      </x:c>
      <x:c r="I100" s="12" t="n">
        <x:f>Demand!G100</x:f>
        <x:v>0</x:v>
      </x:c>
      <x:c r="J100" s="12" t="n">
        <x:f>MAX(0,H100+I100)</x:f>
        <x:v>15784</x:v>
      </x:c>
      <x:c r="K100" s="12" t="n">
        <x:f>D100+F100+J100-E100</x:f>
        <x:v>10748</x:v>
      </x:c>
      <x:c r="L100" s="15" t="n">
        <x:f>IF(E100=0,0,K100/E100*4.33)</x:f>
        <x:v>3.0001830840639503</x:v>
      </x:c>
      <x:c r="M100" s="9" t="str">
        <x:f>IF(K100&lt;0,"SHORTAGE",IF(K100&lt;G100,"BELOW TARGET","ON TARGET"))</x:f>
        <x:v>ON TARGET</x:v>
      </x:c>
    </x:row>
    <x:row r="101" ht="25" customHeight="1">
      <x:c r="A101" s="11" t="n">
        <x:f>Demand!A101</x:f>
        <x:v>46722</x:v>
      </x:c>
      <x:c r="B101" s="9" t="str">
        <x:f>Demand!B101</x:f>
        <x:v>WH-1</x:v>
      </x:c>
      <x:c r="C101" s="9" t="str">
        <x:f>Demand!C101</x:f>
        <x:v>DEMO-04</x:v>
      </x:c>
      <x:c r="D101" s="12" t="n">
        <x:f>K93</x:f>
        <x:v>0</x:v>
      </x:c>
      <x:c r="E101" s="12" t="n">
        <x:f>MAX(Demand!D101,Demand!E101)</x:f>
        <x:v>15097</x:v>
      </x:c>
      <x:c r="F101" s="12" t="n">
        <x:f>Demand!F101</x:f>
        <x:v>0</x:v>
      </x:c>
      <x:c r="G101" s="12" t="n">
        <x:f>IF(Inputs!K13="MTO",0,ROUNDUP(E101*Inputs!J13/4.33,0))</x:f>
        <x:v>0</x:v>
      </x:c>
      <x:c r="H101" s="12" t="n">
        <x:f>MAX(0,E101+G101-D101-F101)</x:f>
        <x:v>15097</x:v>
      </x:c>
      <x:c r="I101" s="12" t="n">
        <x:f>Demand!G101</x:f>
        <x:v>0</x:v>
      </x:c>
      <x:c r="J101" s="12" t="n">
        <x:f>MAX(0,H101+I101)</x:f>
        <x:v>15097</x:v>
      </x:c>
      <x:c r="K101" s="12" t="n">
        <x:f>D101+F101+J101-E101</x:f>
        <x:v>0</x:v>
      </x:c>
      <x:c r="L101" s="15" t="n">
        <x:f>IF(E101=0,0,K101/E101*4.33)</x:f>
        <x:v>0</x:v>
      </x:c>
      <x:c r="M101" s="9" t="str">
        <x:f>IF(K101&lt;0,"SHORTAGE",IF(K101&lt;G101,"BELOW TARGET","ON TARGET"))</x:f>
        <x:v>ON TARGET</x:v>
      </x:c>
    </x:row>
    <x:row r="102" ht="25" customHeight="1">
      <x:c r="A102" s="11" t="n">
        <x:f>Demand!A102</x:f>
        <x:v>46722</x:v>
      </x:c>
      <x:c r="B102" s="9" t="str">
        <x:f>Demand!B102</x:f>
        <x:v>WH-2</x:v>
      </x:c>
      <x:c r="C102" s="9" t="str">
        <x:f>Demand!C102</x:f>
        <x:v>DEMO-04</x:v>
      </x:c>
      <x:c r="D102" s="12" t="n">
        <x:f>K94</x:f>
        <x:v>0</x:v>
      </x:c>
      <x:c r="E102" s="12" t="n">
        <x:f>MAX(Demand!D102,Demand!E102)</x:f>
        <x:v>17313</x:v>
      </x:c>
      <x:c r="F102" s="12" t="n">
        <x:f>Demand!F102</x:f>
        <x:v>0</x:v>
      </x:c>
      <x:c r="G102" s="12" t="n">
        <x:f>IF(Inputs!K14="MTO",0,ROUNDUP(E102*Inputs!J14/4.33,0))</x:f>
        <x:v>0</x:v>
      </x:c>
      <x:c r="H102" s="12" t="n">
        <x:f>MAX(0,E102+G102-D102-F102)</x:f>
        <x:v>17313</x:v>
      </x:c>
      <x:c r="I102" s="12" t="n">
        <x:f>Demand!G102</x:f>
        <x:v>0</x:v>
      </x:c>
      <x:c r="J102" s="12" t="n">
        <x:f>MAX(0,H102+I102)</x:f>
        <x:v>17313</x:v>
      </x:c>
      <x:c r="K102" s="12" t="n">
        <x:f>D102+F102+J102-E102</x:f>
        <x:v>0</x:v>
      </x:c>
      <x:c r="L102" s="15" t="n">
        <x:f>IF(E102=0,0,K102/E102*4.33)</x:f>
        <x:v>0</x:v>
      </x:c>
      <x:c r="M102" s="9" t="str">
        <x:f>IF(K102&lt;0,"SHORTAGE",IF(K102&lt;G102,"BELOW TARGET","ON TARGET"))</x:f>
        <x:v>ON TARGET</x:v>
      </x:c>
    </x:row>
    <x:row r="103" ht="25" customHeight="1">
      <x:c r="A103" s="9"/>
      <x:c r="B103" s="9"/>
      <x:c r="C103" s="9"/>
      <x:c r="D103" s="9"/>
      <x:c r="E103" s="9"/>
      <x:c r="F103" s="9"/>
      <x:c r="G103" s="9"/>
      <x:c r="H103" s="9"/>
      <x:c r="I103" s="9"/>
      <x:c r="J103" s="9"/>
      <x:c r="K103" s="9"/>
      <x:c r="L103" s="9"/>
      <x:c r="M103" s="9"/>
    </x:row>
    <x:row r="104" ht="25" customHeight="1">
      <x:c r="A104" s="9"/>
      <x:c r="B104" s="9"/>
      <x:c r="C104" s="9"/>
      <x:c r="D104" s="9"/>
      <x:c r="E104" s="9"/>
      <x:c r="F104" s="9"/>
      <x:c r="G104" s="9"/>
      <x:c r="H104" s="9"/>
      <x:c r="I104" s="9"/>
      <x:c r="J104" s="9"/>
      <x:c r="K104" s="9"/>
      <x:c r="L104" s="9"/>
      <x:c r="M104" s="9"/>
    </x:row>
    <x:row r="105" ht="25" customHeight="1">
      <x:c r="A105" s="9"/>
      <x:c r="B105" s="9"/>
      <x:c r="C105" s="9"/>
      <x:c r="D105" s="9"/>
      <x:c r="E105" s="9"/>
      <x:c r="F105" s="9"/>
      <x:c r="G105" s="9"/>
      <x:c r="H105" s="9"/>
      <x:c r="I105" s="9"/>
      <x:c r="J105" s="9"/>
      <x:c r="K105" s="9"/>
      <x:c r="L105" s="9"/>
      <x:c r="M105" s="9"/>
    </x:row>
    <x:row r="106" ht="25" customHeight="1">
      <x:c r="A106" s="9"/>
      <x:c r="B106" s="9"/>
      <x:c r="C106" s="9"/>
      <x:c r="D106" s="9"/>
      <x:c r="E106" s="9"/>
      <x:c r="F106" s="9"/>
      <x:c r="G106" s="9"/>
      <x:c r="H106" s="9"/>
      <x:c r="I106" s="9"/>
      <x:c r="J106" s="9"/>
      <x:c r="K106" s="9"/>
      <x:c r="L106" s="9"/>
      <x:c r="M106" s="9"/>
    </x:row>
    <x:row r="107" ht="25" customHeight="1">
      <x:c r="A107" s="9"/>
      <x:c r="B107" s="9"/>
      <x:c r="C107" s="9"/>
      <x:c r="D107" s="9"/>
      <x:c r="E107" s="9"/>
      <x:c r="F107" s="9"/>
      <x:c r="G107" s="9"/>
      <x:c r="H107" s="9"/>
      <x:c r="I107" s="9"/>
      <x:c r="J107" s="9"/>
      <x:c r="K107" s="9"/>
      <x:c r="L107" s="9"/>
      <x:c r="M107" s="9"/>
    </x:row>
    <x:row r="108" ht="25" customHeight="1">
      <x:c r="A108" s="9"/>
      <x:c r="B108" s="9"/>
      <x:c r="C108" s="9"/>
      <x:c r="D108" s="9"/>
      <x:c r="E108" s="9"/>
      <x:c r="F108" s="9"/>
      <x:c r="G108" s="9"/>
      <x:c r="H108" s="9"/>
      <x:c r="I108" s="9"/>
      <x:c r="J108" s="9"/>
      <x:c r="K108" s="9"/>
      <x:c r="L108" s="9"/>
      <x:c r="M108" s="9"/>
    </x:row>
    <x:row r="109" ht="25" customHeight="1">
      <x:c r="A109" s="9"/>
      <x:c r="B109" s="9"/>
      <x:c r="C109" s="9"/>
      <x:c r="D109" s="9"/>
      <x:c r="E109" s="9"/>
      <x:c r="F109" s="9"/>
      <x:c r="G109" s="9"/>
      <x:c r="H109" s="9"/>
      <x:c r="I109" s="9"/>
      <x:c r="J109" s="9"/>
      <x:c r="K109" s="9"/>
      <x:c r="L109" s="9"/>
      <x:c r="M109" s="9"/>
    </x:row>
    <x:row r="110" ht="25" customHeight="1">
      <x:c r="A110" s="9"/>
      <x:c r="B110" s="9"/>
      <x:c r="C110" s="9"/>
      <x:c r="D110" s="9"/>
      <x:c r="E110" s="9"/>
      <x:c r="F110" s="9"/>
      <x:c r="G110" s="9"/>
      <x:c r="H110" s="9"/>
      <x:c r="I110" s="9"/>
      <x:c r="J110" s="9"/>
      <x:c r="K110" s="9"/>
      <x:c r="L110" s="9"/>
      <x:c r="M110" s="9"/>
    </x:row>
    <x:row r="111" ht="25" customHeight="1">
      <x:c r="A111" s="9"/>
      <x:c r="B111" s="9"/>
      <x:c r="C111" s="9"/>
      <x:c r="D111" s="9"/>
      <x:c r="E111" s="9"/>
      <x:c r="F111" s="9"/>
      <x:c r="G111" s="9"/>
      <x:c r="H111" s="9"/>
      <x:c r="I111" s="9"/>
      <x:c r="J111" s="9"/>
      <x:c r="K111" s="9"/>
      <x:c r="L111" s="9"/>
      <x:c r="M111" s="9"/>
    </x:row>
    <x:row r="112" ht="25" customHeight="1">
      <x:c r="A112" s="9"/>
      <x:c r="B112" s="9"/>
      <x:c r="C112" s="9"/>
      <x:c r="D112" s="9"/>
      <x:c r="E112" s="9"/>
      <x:c r="F112" s="9"/>
      <x:c r="G112" s="9"/>
      <x:c r="H112" s="9"/>
      <x:c r="I112" s="9"/>
      <x:c r="J112" s="9"/>
      <x:c r="K112" s="9"/>
      <x:c r="L112" s="9"/>
      <x:c r="M112" s="9"/>
    </x:row>
    <x:row r="113" ht="25" customHeight="1">
      <x:c r="A113" s="9"/>
      <x:c r="B113" s="9"/>
      <x:c r="C113" s="9"/>
      <x:c r="D113" s="9"/>
      <x:c r="E113" s="9"/>
      <x:c r="F113" s="9"/>
      <x:c r="G113" s="9"/>
      <x:c r="H113" s="9"/>
      <x:c r="I113" s="9"/>
      <x:c r="J113" s="9"/>
      <x:c r="K113" s="9"/>
      <x:c r="L113" s="9"/>
      <x:c r="M113" s="9"/>
    </x:row>
    <x:row r="114" ht="25" customHeight="1">
      <x:c r="A114" s="9"/>
      <x:c r="B114" s="9"/>
      <x:c r="C114" s="9"/>
      <x:c r="D114" s="9"/>
      <x:c r="E114" s="9"/>
      <x:c r="F114" s="9"/>
      <x:c r="G114" s="9"/>
      <x:c r="H114" s="9"/>
      <x:c r="I114" s="9"/>
      <x:c r="J114" s="9"/>
      <x:c r="K114" s="9"/>
      <x:c r="L114" s="9"/>
      <x:c r="M114" s="9"/>
    </x:row>
    <x:row r="115" ht="25" customHeight="1">
      <x:c r="A115" s="9"/>
      <x:c r="B115" s="9"/>
      <x:c r="C115" s="9"/>
      <x:c r="D115" s="9"/>
      <x:c r="E115" s="9"/>
      <x:c r="F115" s="9"/>
      <x:c r="G115" s="9"/>
      <x:c r="H115" s="9"/>
      <x:c r="I115" s="9"/>
      <x:c r="J115" s="9"/>
      <x:c r="K115" s="9"/>
      <x:c r="L115" s="9"/>
      <x:c r="M115" s="9"/>
    </x:row>
    <x:row r="116" ht="25" customHeight="1">
      <x:c r="A116" s="9"/>
      <x:c r="B116" s="9"/>
      <x:c r="C116" s="9"/>
      <x:c r="D116" s="9"/>
      <x:c r="E116" s="9"/>
      <x:c r="F116" s="9"/>
      <x:c r="G116" s="9"/>
      <x:c r="H116" s="9"/>
      <x:c r="I116" s="9"/>
      <x:c r="J116" s="9"/>
      <x:c r="K116" s="9"/>
      <x:c r="L116" s="9"/>
      <x:c r="M116" s="9"/>
    </x:row>
    <x:row r="117" ht="25" customHeight="1">
      <x:c r="A117" s="9"/>
      <x:c r="B117" s="9"/>
      <x:c r="C117" s="9"/>
      <x:c r="D117" s="9"/>
      <x:c r="E117" s="9"/>
      <x:c r="F117" s="9"/>
      <x:c r="G117" s="9"/>
      <x:c r="H117" s="9"/>
      <x:c r="I117" s="9"/>
      <x:c r="J117" s="9"/>
      <x:c r="K117" s="9"/>
      <x:c r="L117" s="9"/>
      <x:c r="M117" s="9"/>
    </x:row>
    <x:row r="118" ht="25" customHeight="1">
      <x:c r="A118" s="9"/>
      <x:c r="B118" s="9"/>
      <x:c r="C118" s="9"/>
      <x:c r="D118" s="9"/>
      <x:c r="E118" s="9"/>
      <x:c r="F118" s="9"/>
      <x:c r="G118" s="9"/>
      <x:c r="H118" s="9"/>
      <x:c r="I118" s="9"/>
      <x:c r="J118" s="9"/>
      <x:c r="K118" s="9"/>
      <x:c r="L118" s="9"/>
      <x:c r="M118" s="9"/>
    </x:row>
    <x:row r="119" ht="25" customHeight="1">
      <x:c r="A119" s="9"/>
      <x:c r="B119" s="9"/>
      <x:c r="C119" s="9"/>
      <x:c r="D119" s="9"/>
      <x:c r="E119" s="9"/>
      <x:c r="F119" s="9"/>
      <x:c r="G119" s="9"/>
      <x:c r="H119" s="9"/>
      <x:c r="I119" s="9"/>
      <x:c r="J119" s="9"/>
      <x:c r="K119" s="9"/>
      <x:c r="L119" s="9"/>
      <x:c r="M119" s="9"/>
    </x:row>
    <x:row r="120" ht="25" customHeight="1">
      <x:c r="A120" s="9"/>
      <x:c r="B120" s="9"/>
      <x:c r="C120" s="9"/>
      <x:c r="D120" s="9"/>
      <x:c r="E120" s="9"/>
      <x:c r="F120" s="9"/>
      <x:c r="G120" s="9"/>
      <x:c r="H120" s="9"/>
      <x:c r="I120" s="9"/>
      <x:c r="J120" s="9"/>
      <x:c r="K120" s="9"/>
      <x:c r="L120" s="9"/>
      <x:c r="M120" s="9"/>
    </x:row>
  </x:sheetData>
  <x:mergeCells>
    <x:mergeCell ref="A1:M2"/>
    <x:mergeCell ref="A3:M4"/>
  </x:mergeCells>
  <x:conditionalFormatting sqref="K7:K102">
    <x:cfRule type="cellIs" dxfId="2" priority="1" operator="lessThan">
      <x:formula>0</x:formula>
    </x:cfRule>
  </x:conditionalFormatting>
  <x:pageMargins left="0.7" right="0.7" top="0.75" bottom="0.75" header="0.3" footer="0.3"/>
</x:worksheet>
</file>

<file path=xl/worksheets/sheet3.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4" hidden="0" customWidth="1"/>
  </x:cols>
  <x:sheetData>
    <x:row r="1" ht="24" customHeight="1">
      <x:c r="A1" s="2" t="str">
        <x:v>Production line capacity</x:v>
      </x:c>
      <x:c r="B1" s="2"/>
      <x:c r="C1" s="2"/>
      <x:c r="D1" s="2"/>
      <x:c r="E1" s="2"/>
      <x:c r="F1" s="2"/>
      <x:c r="G1" s="2"/>
      <x:c r="H1" s="2"/>
      <x:c r="I1" s="2"/>
      <x:c r="J1" s="2"/>
    </x:row>
    <x:row r="2" ht="24" customHeight="1">
      <x:c r="A2" s="2"/>
      <x:c r="B2" s="2"/>
      <x:c r="C2" s="2"/>
      <x:c r="D2" s="2"/>
      <x:c r="E2" s="2"/>
      <x:c r="F2" s="2"/>
      <x:c r="G2" s="2"/>
      <x:c r="H2" s="2"/>
      <x:c r="I2" s="2"/>
      <x:c r="J2" s="2"/>
    </x:row>
    <x:row r="3" ht="22" customHeight="1">
      <x:c r="A3" s="4" t="str">
        <x:v>Monthly line loading from the MPS. This flags overload; it does not sequence jobs or automatically constrain production.</x:v>
      </x:c>
      <x:c r="B3" s="4"/>
      <x:c r="C3" s="4"/>
      <x:c r="D3" s="4"/>
      <x:c r="E3" s="4"/>
      <x:c r="F3" s="4"/>
      <x:c r="G3" s="4"/>
      <x:c r="H3" s="4"/>
      <x:c r="I3" s="4"/>
      <x:c r="J3" s="4"/>
    </x:row>
    <x:row r="4" ht="22" customHeight="1">
      <x:c r="A4" s="4"/>
      <x:c r="B4" s="4"/>
      <x:c r="C4" s="4"/>
      <x:c r="D4" s="4"/>
      <x:c r="E4" s="4"/>
      <x:c r="F4" s="4"/>
      <x:c r="G4" s="4"/>
      <x:c r="H4" s="4"/>
      <x:c r="I4" s="4"/>
      <x:c r="J4" s="4"/>
    </x:row>
    <x:row r="6" ht="36" customHeight="1">
      <x:c r="A6" s="7" t="str">
        <x:v>Month</x:v>
      </x:c>
      <x:c r="B6" s="7" t="str">
        <x:v>SKU</x:v>
      </x:c>
      <x:c r="C6" s="7" t="str">
        <x:v>Line</x:v>
      </x:c>
      <x:c r="D6" s="7" t="str">
        <x:v>Planned cases</x:v>
      </x:c>
      <x:c r="E6" s="7" t="str">
        <x:v>Cases / hour</x:v>
      </x:c>
      <x:c r="F6" s="7" t="str">
        <x:v>Hours required</x:v>
      </x:c>
      <x:c r="G6" s="7" t="str">
        <x:v>Line hours</x:v>
      </x:c>
      <x:c r="H6" s="7" t="str">
        <x:v>Available hours</x:v>
      </x:c>
      <x:c r="I6" s="7" t="str">
        <x:v>Utilisation</x:v>
      </x:c>
      <x:c r="J6" s="7" t="str">
        <x:v>Capacity status</x:v>
      </x:c>
    </x:row>
    <x:row r="7" ht="25" customHeight="1">
      <x:c r="A7" s="11" t="n">
        <x:f>Demand!A7</x:f>
        <x:v>46388</x:v>
      </x:c>
      <x:c r="B7" s="9" t="str">
        <x:f>Inputs!A7</x:f>
        <x:v>DEMO-01</x:v>
      </x:c>
      <x:c r="C7" s="9" t="str">
        <x:f>Inputs!C7</x:f>
        <x:v>Line A</x:v>
      </x:c>
      <x:c r="D7" s="9" t="n">
        <x:f>SUMIFS(MPS!$J$7:$J$102,MPS!$A$7:$A$102,A7,MPS!$C$7:$C$102,B7)</x:f>
        <x:v>19009</x:v>
      </x:c>
      <x:c r="E7" s="9" t="n">
        <x:f>Inputs!D7</x:f>
        <x:v>500</x:v>
      </x:c>
      <x:c r="F7" s="15" t="n">
        <x:f>D7/E7</x:f>
        <x:v>38.018</x:v>
      </x:c>
      <x:c r="G7" s="15" t="n">
        <x:f>SUMIFS($F$7:$F$54,$A$7:$A$54,A7,$C$7:$C$54,C7)</x:f>
        <x:v>94.5455</x:v>
      </x:c>
      <x:c r="H7" s="15" t="n">
        <x:f>SUMIF(Inputs!$L$7:$L$8,C7,Inputs!$M$7:$M$8)</x:f>
        <x:v>110</x:v>
      </x:c>
      <x:c r="I7" s="16" t="n">
        <x:f>G7/H7</x:f>
        <x:v>0.8595045454545455</x:v>
      </x:c>
      <x:c r="J7" s="9" t="str">
        <x:f>IF(I7&gt;1,"OVER CAPACITY","WITHIN CAPACITY")</x:f>
        <x:v>WITHIN CAPACITY</x:v>
      </x:c>
    </x:row>
    <x:row r="8" ht="25" customHeight="1">
      <x:c r="A8" s="11" t="n">
        <x:f>Demand!A7</x:f>
        <x:v>46388</x:v>
      </x:c>
      <x:c r="B8" s="9" t="str">
        <x:f>Inputs!A8</x:f>
        <x:v>DEMO-02</x:v>
      </x:c>
      <x:c r="C8" s="9" t="str">
        <x:f>Inputs!C8</x:f>
        <x:v>Line A</x:v>
      </x:c>
      <x:c r="D8" s="9" t="n">
        <x:f>SUMIFS(MPS!$J$7:$J$102,MPS!$A$7:$A$102,A8,MPS!$C$7:$C$102,B8)</x:f>
        <x:v>22611</x:v>
      </x:c>
      <x:c r="E8" s="9" t="n">
        <x:f>Inputs!D8</x:f>
        <x:v>400</x:v>
      </x:c>
      <x:c r="F8" s="15" t="n">
        <x:f>D8/E8</x:f>
        <x:v>56.5275</x:v>
      </x:c>
      <x:c r="G8" s="15" t="n">
        <x:f>SUMIFS($F$7:$F$54,$A$7:$A$54,A8,$C$7:$C$54,C8)</x:f>
        <x:v>94.5455</x:v>
      </x:c>
      <x:c r="H8" s="15" t="n">
        <x:f>SUMIF(Inputs!$L$7:$L$8,C8,Inputs!$M$7:$M$8)</x:f>
        <x:v>110</x:v>
      </x:c>
      <x:c r="I8" s="16" t="n">
        <x:f>G8/H8</x:f>
        <x:v>0.8595045454545455</x:v>
      </x:c>
      <x:c r="J8" s="9" t="str">
        <x:f>IF(I8&gt;1,"OVER CAPACITY","WITHIN CAPACITY")</x:f>
        <x:v>WITHIN CAPACITY</x:v>
      </x:c>
    </x:row>
    <x:row r="9" ht="25" customHeight="1">
      <x:c r="A9" s="11" t="n">
        <x:f>Demand!A7</x:f>
        <x:v>46388</x:v>
      </x:c>
      <x:c r="B9" s="9" t="str">
        <x:f>Inputs!A9</x:f>
        <x:v>DEMO-03</x:v>
      </x:c>
      <x:c r="C9" s="9" t="str">
        <x:f>Inputs!C9</x:f>
        <x:v>Line B</x:v>
      </x:c>
      <x:c r="D9" s="9" t="n">
        <x:f>SUMIFS(MPS!$J$7:$J$102,MPS!$A$7:$A$102,A9,MPS!$C$7:$C$102,B9)</x:f>
        <x:v>26212</x:v>
      </x:c>
      <x:c r="E9" s="9" t="n">
        <x:f>Inputs!D9</x:f>
        <x:v>650</x:v>
      </x:c>
      <x:c r="F9" s="15" t="n">
        <x:f>D9/E9</x:f>
        <x:v>40.326153846153844</x:v>
      </x:c>
      <x:c r="G9" s="15" t="n">
        <x:f>SUMIFS($F$7:$F$54,$A$7:$A$54,A9,$C$7:$C$54,C9)</x:f>
        <x:v>70.54837606837606</x:v>
      </x:c>
      <x:c r="H9" s="15" t="n">
        <x:f>SUMIF(Inputs!$L$7:$L$8,C9,Inputs!$M$7:$M$8)</x:f>
        <x:v>125</x:v>
      </x:c>
      <x:c r="I9" s="16" t="n">
        <x:f>G9/H9</x:f>
        <x:v>0.5643870085470085</x:v>
      </x:c>
      <x:c r="J9" s="9" t="str">
        <x:f>IF(I9&gt;1,"OVER CAPACITY","WITHIN CAPACITY")</x:f>
        <x:v>WITHIN CAPACITY</x:v>
      </x:c>
    </x:row>
    <x:row r="10" ht="25" customHeight="1">
      <x:c r="A10" s="11" t="n">
        <x:f>Demand!A7</x:f>
        <x:v>46388</x:v>
      </x:c>
      <x:c r="B10" s="9" t="str">
        <x:f>Inputs!A10</x:f>
        <x:v>DEMO-04</x:v>
      </x:c>
      <x:c r="C10" s="9" t="str">
        <x:f>Inputs!C10</x:f>
        <x:v>Line B</x:v>
      </x:c>
      <x:c r="D10" s="9" t="n">
        <x:f>SUMIFS(MPS!$J$7:$J$102,MPS!$A$7:$A$102,A10,MPS!$C$7:$C$102,B10)</x:f>
        <x:v>13600</x:v>
      </x:c>
      <x:c r="E10" s="9" t="n">
        <x:f>Inputs!D10</x:f>
        <x:v>450</x:v>
      </x:c>
      <x:c r="F10" s="15" t="n">
        <x:f>D10/E10</x:f>
        <x:v>30.22222222222222</x:v>
      </x:c>
      <x:c r="G10" s="15" t="n">
        <x:f>SUMIFS($F$7:$F$54,$A$7:$A$54,A10,$C$7:$C$54,C10)</x:f>
        <x:v>70.54837606837606</x:v>
      </x:c>
      <x:c r="H10" s="15" t="n">
        <x:f>SUMIF(Inputs!$L$7:$L$8,C10,Inputs!$M$7:$M$8)</x:f>
        <x:v>125</x:v>
      </x:c>
      <x:c r="I10" s="16" t="n">
        <x:f>G10/H10</x:f>
        <x:v>0.5643870085470085</x:v>
      </x:c>
      <x:c r="J10" s="9" t="str">
        <x:f>IF(I10&gt;1,"OVER CAPACITY","WITHIN CAPACITY")</x:f>
        <x:v>WITHIN CAPACITY</x:v>
      </x:c>
    </x:row>
    <x:row r="11" ht="25" customHeight="1">
      <x:c r="A11" s="11" t="n">
        <x:f>Demand!A15</x:f>
        <x:v>46419</x:v>
      </x:c>
      <x:c r="B11" s="9" t="str">
        <x:f>Inputs!A7</x:f>
        <x:v>DEMO-01</x:v>
      </x:c>
      <x:c r="C11" s="9" t="str">
        <x:f>Inputs!C7</x:f>
        <x:v>Line A</x:v>
      </x:c>
      <x:c r="D11" s="9" t="n">
        <x:f>SUMIFS(MPS!$J$7:$J$102,MPS!$A$7:$A$102,A11,MPS!$C$7:$C$102,B11)</x:f>
        <x:v>16524</x:v>
      </x:c>
      <x:c r="E11" s="9" t="n">
        <x:f>Inputs!D7</x:f>
        <x:v>500</x:v>
      </x:c>
      <x:c r="F11" s="15" t="n">
        <x:f>D11/E11</x:f>
        <x:v>33.048</x:v>
      </x:c>
      <x:c r="G11" s="15" t="n">
        <x:f>SUMIFS($F$7:$F$54,$A$7:$A$54,A11,$C$7:$C$54,C11)</x:f>
        <x:v>81.248</x:v>
      </x:c>
      <x:c r="H11" s="15" t="n">
        <x:f>SUMIF(Inputs!$L$7:$L$8,C11,Inputs!$M$7:$M$8)</x:f>
        <x:v>110</x:v>
      </x:c>
      <x:c r="I11" s="16" t="n">
        <x:f>G11/H11</x:f>
        <x:v>0.7386181818181818</x:v>
      </x:c>
      <x:c r="J11" s="9" t="str">
        <x:f>IF(I11&gt;1,"OVER CAPACITY","WITHIN CAPACITY")</x:f>
        <x:v>WITHIN CAPACITY</x:v>
      </x:c>
    </x:row>
    <x:row r="12" ht="25" customHeight="1">
      <x:c r="A12" s="11" t="n">
        <x:f>Demand!A15</x:f>
        <x:v>46419</x:v>
      </x:c>
      <x:c r="B12" s="9" t="str">
        <x:f>Inputs!A8</x:f>
        <x:v>DEMO-02</x:v>
      </x:c>
      <x:c r="C12" s="9" t="str">
        <x:f>Inputs!C8</x:f>
        <x:v>Line A</x:v>
      </x:c>
      <x:c r="D12" s="9" t="n">
        <x:f>SUMIFS(MPS!$J$7:$J$102,MPS!$A$7:$A$102,A12,MPS!$C$7:$C$102,B12)</x:f>
        <x:v>19280</x:v>
      </x:c>
      <x:c r="E12" s="9" t="n">
        <x:f>Inputs!D8</x:f>
        <x:v>400</x:v>
      </x:c>
      <x:c r="F12" s="15" t="n">
        <x:f>D12/E12</x:f>
        <x:v>48.2</x:v>
      </x:c>
      <x:c r="G12" s="15" t="n">
        <x:f>SUMIFS($F$7:$F$54,$A$7:$A$54,A12,$C$7:$C$54,C12)</x:f>
        <x:v>81.248</x:v>
      </x:c>
      <x:c r="H12" s="15" t="n">
        <x:f>SUMIF(Inputs!$L$7:$L$8,C12,Inputs!$M$7:$M$8)</x:f>
        <x:v>110</x:v>
      </x:c>
      <x:c r="I12" s="16" t="n">
        <x:f>G12/H12</x:f>
        <x:v>0.7386181818181818</x:v>
      </x:c>
      <x:c r="J12" s="9" t="str">
        <x:f>IF(I12&gt;1,"OVER CAPACITY","WITHIN CAPACITY")</x:f>
        <x:v>WITHIN CAPACITY</x:v>
      </x:c>
    </x:row>
    <x:row r="13" ht="25" customHeight="1">
      <x:c r="A13" s="11" t="n">
        <x:f>Demand!A15</x:f>
        <x:v>46419</x:v>
      </x:c>
      <x:c r="B13" s="9" t="str">
        <x:f>Inputs!A9</x:f>
        <x:v>DEMO-03</x:v>
      </x:c>
      <x:c r="C13" s="9" t="str">
        <x:f>Inputs!C9</x:f>
        <x:v>Line B</x:v>
      </x:c>
      <x:c r="D13" s="9" t="n">
        <x:f>SUMIFS(MPS!$J$7:$J$102,MPS!$A$7:$A$102,A13,MPS!$C$7:$C$102,B13)</x:f>
        <x:v>22033</x:v>
      </x:c>
      <x:c r="E13" s="9" t="n">
        <x:f>Inputs!D9</x:f>
        <x:v>650</x:v>
      </x:c>
      <x:c r="F13" s="15" t="n">
        <x:f>D13/E13</x:f>
        <x:v>33.89692307692307</x:v>
      </x:c>
      <x:c r="G13" s="15" t="n">
        <x:f>SUMIFS($F$7:$F$54,$A$7:$A$54,A13,$C$7:$C$54,C13)</x:f>
        <x:v>87.71692307692308</x:v>
      </x:c>
      <x:c r="H13" s="15" t="n">
        <x:f>SUMIF(Inputs!$L$7:$L$8,C13,Inputs!$M$7:$M$8)</x:f>
        <x:v>125</x:v>
      </x:c>
      <x:c r="I13" s="16" t="n">
        <x:f>G13/H13</x:f>
        <x:v>0.7017353846153846</x:v>
      </x:c>
      <x:c r="J13" s="9" t="str">
        <x:f>IF(I13&gt;1,"OVER CAPACITY","WITHIN CAPACITY")</x:f>
        <x:v>WITHIN CAPACITY</x:v>
      </x:c>
    </x:row>
    <x:row r="14" ht="25" customHeight="1">
      <x:c r="A14" s="11" t="n">
        <x:f>Demand!A15</x:f>
        <x:v>46419</x:v>
      </x:c>
      <x:c r="B14" s="9" t="str">
        <x:f>Inputs!A10</x:f>
        <x:v>DEMO-04</x:v>
      </x:c>
      <x:c r="C14" s="9" t="str">
        <x:f>Inputs!C10</x:f>
        <x:v>Line B</x:v>
      </x:c>
      <x:c r="D14" s="9" t="n">
        <x:f>SUMIFS(MPS!$J$7:$J$102,MPS!$A$7:$A$102,A14,MPS!$C$7:$C$102,B14)</x:f>
        <x:v>24219</x:v>
      </x:c>
      <x:c r="E14" s="9" t="n">
        <x:f>Inputs!D10</x:f>
        <x:v>450</x:v>
      </x:c>
      <x:c r="F14" s="15" t="n">
        <x:f>D14/E14</x:f>
        <x:v>53.82</x:v>
      </x:c>
      <x:c r="G14" s="15" t="n">
        <x:f>SUMIFS($F$7:$F$54,$A$7:$A$54,A14,$C$7:$C$54,C14)</x:f>
        <x:v>87.71692307692308</x:v>
      </x:c>
      <x:c r="H14" s="15" t="n">
        <x:f>SUMIF(Inputs!$L$7:$L$8,C14,Inputs!$M$7:$M$8)</x:f>
        <x:v>125</x:v>
      </x:c>
      <x:c r="I14" s="16" t="n">
        <x:f>G14/H14</x:f>
        <x:v>0.7017353846153846</x:v>
      </x:c>
      <x:c r="J14" s="9" t="str">
        <x:f>IF(I14&gt;1,"OVER CAPACITY","WITHIN CAPACITY")</x:f>
        <x:v>WITHIN CAPACITY</x:v>
      </x:c>
    </x:row>
    <x:row r="15" ht="25" customHeight="1">
      <x:c r="A15" s="11" t="n">
        <x:f>Demand!A23</x:f>
        <x:v>46447</x:v>
      </x:c>
      <x:c r="B15" s="9" t="str">
        <x:f>Inputs!A7</x:f>
        <x:v>DEMO-01</x:v>
      </x:c>
      <x:c r="C15" s="9" t="str">
        <x:f>Inputs!C7</x:f>
        <x:v>Line A</x:v>
      </x:c>
      <x:c r="D15" s="9" t="n">
        <x:f>SUMIFS(MPS!$J$7:$J$102,MPS!$A$7:$A$102,A15,MPS!$C$7:$C$102,B15)</x:f>
        <x:v>17071</x:v>
      </x:c>
      <x:c r="E15" s="9" t="n">
        <x:f>Inputs!D7</x:f>
        <x:v>500</x:v>
      </x:c>
      <x:c r="F15" s="15" t="n">
        <x:f>D15/E15</x:f>
        <x:v>34.142</x:v>
      </x:c>
      <x:c r="G15" s="15" t="n">
        <x:f>SUMIFS($F$7:$F$54,$A$7:$A$54,A15,$C$7:$C$54,C15)</x:f>
        <x:v>83.9295</x:v>
      </x:c>
      <x:c r="H15" s="15" t="n">
        <x:f>SUMIF(Inputs!$L$7:$L$8,C15,Inputs!$M$7:$M$8)</x:f>
        <x:v>110</x:v>
      </x:c>
      <x:c r="I15" s="16" t="n">
        <x:f>G15/H15</x:f>
        <x:v>0.7629954545454546</x:v>
      </x:c>
      <x:c r="J15" s="9" t="str">
        <x:f>IF(I15&gt;1,"OVER CAPACITY","WITHIN CAPACITY")</x:f>
        <x:v>WITHIN CAPACITY</x:v>
      </x:c>
    </x:row>
    <x:row r="16" ht="25" customHeight="1">
      <x:c r="A16" s="11" t="n">
        <x:f>Demand!A23</x:f>
        <x:v>46447</x:v>
      </x:c>
      <x:c r="B16" s="9" t="str">
        <x:f>Inputs!A8</x:f>
        <x:v>DEMO-02</x:v>
      </x:c>
      <x:c r="C16" s="9" t="str">
        <x:f>Inputs!C8</x:f>
        <x:v>Line A</x:v>
      </x:c>
      <x:c r="D16" s="9" t="n">
        <x:f>SUMIFS(MPS!$J$7:$J$102,MPS!$A$7:$A$102,A16,MPS!$C$7:$C$102,B16)</x:f>
        <x:v>19915</x:v>
      </x:c>
      <x:c r="E16" s="9" t="n">
        <x:f>Inputs!D8</x:f>
        <x:v>400</x:v>
      </x:c>
      <x:c r="F16" s="15" t="n">
        <x:f>D16/E16</x:f>
        <x:v>49.7875</x:v>
      </x:c>
      <x:c r="G16" s="15" t="n">
        <x:f>SUMIFS($F$7:$F$54,$A$7:$A$54,A16,$C$7:$C$54,C16)</x:f>
        <x:v>83.9295</x:v>
      </x:c>
      <x:c r="H16" s="15" t="n">
        <x:f>SUMIF(Inputs!$L$7:$L$8,C16,Inputs!$M$7:$M$8)</x:f>
        <x:v>110</x:v>
      </x:c>
      <x:c r="I16" s="16" t="n">
        <x:f>G16/H16</x:f>
        <x:v>0.7629954545454546</x:v>
      </x:c>
      <x:c r="J16" s="9" t="str">
        <x:f>IF(I16&gt;1,"OVER CAPACITY","WITHIN CAPACITY")</x:f>
        <x:v>WITHIN CAPACITY</x:v>
      </x:c>
    </x:row>
    <x:row r="17" ht="25" customHeight="1">
      <x:c r="A17" s="11" t="n">
        <x:f>Demand!A23</x:f>
        <x:v>46447</x:v>
      </x:c>
      <x:c r="B17" s="9" t="str">
        <x:f>Inputs!A9</x:f>
        <x:v>DEMO-03</x:v>
      </x:c>
      <x:c r="C17" s="9" t="str">
        <x:f>Inputs!C9</x:f>
        <x:v>Line B</x:v>
      </x:c>
      <x:c r="D17" s="9" t="n">
        <x:f>SUMIFS(MPS!$J$7:$J$102,MPS!$A$7:$A$102,A17,MPS!$C$7:$C$102,B17)</x:f>
        <x:v>22760</x:v>
      </x:c>
      <x:c r="E17" s="9" t="n">
        <x:f>Inputs!D9</x:f>
        <x:v>650</x:v>
      </x:c>
      <x:c r="F17" s="15" t="n">
        <x:f>D17/E17</x:f>
        <x:v>35.01538461538462</x:v>
      </x:c>
      <x:c r="G17" s="15" t="n">
        <x:f>SUMIFS($F$7:$F$54,$A$7:$A$54,A17,$C$7:$C$54,C17)</x:f>
        <x:v>90.65538461538462</x:v>
      </x:c>
      <x:c r="H17" s="15" t="n">
        <x:f>SUMIF(Inputs!$L$7:$L$8,C17,Inputs!$M$7:$M$8)</x:f>
        <x:v>125</x:v>
      </x:c>
      <x:c r="I17" s="16" t="n">
        <x:f>G17/H17</x:f>
        <x:v>0.725243076923077</x:v>
      </x:c>
      <x:c r="J17" s="9" t="str">
        <x:f>IF(I17&gt;1,"OVER CAPACITY","WITHIN CAPACITY")</x:f>
        <x:v>WITHIN CAPACITY</x:v>
      </x:c>
    </x:row>
    <x:row r="18" ht="25" customHeight="1">
      <x:c r="A18" s="11" t="n">
        <x:f>Demand!A23</x:f>
        <x:v>46447</x:v>
      </x:c>
      <x:c r="B18" s="9" t="str">
        <x:f>Inputs!A10</x:f>
        <x:v>DEMO-04</x:v>
      </x:c>
      <x:c r="C18" s="9" t="str">
        <x:f>Inputs!C10</x:f>
        <x:v>Line B</x:v>
      </x:c>
      <x:c r="D18" s="9" t="n">
        <x:f>SUMIFS(MPS!$J$7:$J$102,MPS!$A$7:$A$102,A18,MPS!$C$7:$C$102,B18)</x:f>
        <x:v>25038</x:v>
      </x:c>
      <x:c r="E18" s="9" t="n">
        <x:f>Inputs!D10</x:f>
        <x:v>450</x:v>
      </x:c>
      <x:c r="F18" s="15" t="n">
        <x:f>D18/E18</x:f>
        <x:v>55.64</x:v>
      </x:c>
      <x:c r="G18" s="15" t="n">
        <x:f>SUMIFS($F$7:$F$54,$A$7:$A$54,A18,$C$7:$C$54,C18)</x:f>
        <x:v>90.65538461538462</x:v>
      </x:c>
      <x:c r="H18" s="15" t="n">
        <x:f>SUMIF(Inputs!$L$7:$L$8,C18,Inputs!$M$7:$M$8)</x:f>
        <x:v>125</x:v>
      </x:c>
      <x:c r="I18" s="16" t="n">
        <x:f>G18/H18</x:f>
        <x:v>0.725243076923077</x:v>
      </x:c>
      <x:c r="J18" s="9" t="str">
        <x:f>IF(I18&gt;1,"OVER CAPACITY","WITHIN CAPACITY")</x:f>
        <x:v>WITHIN CAPACITY</x:v>
      </x:c>
    </x:row>
    <x:row r="19" ht="25" customHeight="1">
      <x:c r="A19" s="11" t="n">
        <x:f>Demand!A31</x:f>
        <x:v>46478</x:v>
      </x:c>
      <x:c r="B19" s="9" t="str">
        <x:f>Inputs!A7</x:f>
        <x:v>DEMO-01</x:v>
      </x:c>
      <x:c r="C19" s="9" t="str">
        <x:f>Inputs!C7</x:f>
        <x:v>Line A</x:v>
      </x:c>
      <x:c r="D19" s="9" t="n">
        <x:f>SUMIFS(MPS!$J$7:$J$102,MPS!$A$7:$A$102,A19,MPS!$C$7:$C$102,B19)</x:f>
        <x:v>17617</x:v>
      </x:c>
      <x:c r="E19" s="9" t="n">
        <x:f>Inputs!D7</x:f>
        <x:v>500</x:v>
      </x:c>
      <x:c r="F19" s="15" t="n">
        <x:f>D19/E19</x:f>
        <x:v>35.234</x:v>
      </x:c>
      <x:c r="G19" s="15" t="n">
        <x:f>SUMIFS($F$7:$F$54,$A$7:$A$54,A19,$C$7:$C$54,C19)</x:f>
        <x:v>86.6165</x:v>
      </x:c>
      <x:c r="H19" s="15" t="n">
        <x:f>SUMIF(Inputs!$L$7:$L$8,C19,Inputs!$M$7:$M$8)</x:f>
        <x:v>110</x:v>
      </x:c>
      <x:c r="I19" s="16" t="n">
        <x:f>G19/H19</x:f>
        <x:v>0.7874227272727273</x:v>
      </x:c>
      <x:c r="J19" s="9" t="str">
        <x:f>IF(I19&gt;1,"OVER CAPACITY","WITHIN CAPACITY")</x:f>
        <x:v>WITHIN CAPACITY</x:v>
      </x:c>
    </x:row>
    <x:row r="20" ht="25" customHeight="1">
      <x:c r="A20" s="11" t="n">
        <x:f>Demand!A31</x:f>
        <x:v>46478</x:v>
      </x:c>
      <x:c r="B20" s="9" t="str">
        <x:f>Inputs!A8</x:f>
        <x:v>DEMO-02</x:v>
      </x:c>
      <x:c r="C20" s="9" t="str">
        <x:f>Inputs!C8</x:f>
        <x:v>Line A</x:v>
      </x:c>
      <x:c r="D20" s="9" t="n">
        <x:f>SUMIFS(MPS!$J$7:$J$102,MPS!$A$7:$A$102,A20,MPS!$C$7:$C$102,B20)</x:f>
        <x:v>20553</x:v>
      </x:c>
      <x:c r="E20" s="9" t="n">
        <x:f>Inputs!D8</x:f>
        <x:v>400</x:v>
      </x:c>
      <x:c r="F20" s="15" t="n">
        <x:f>D20/E20</x:f>
        <x:v>51.3825</x:v>
      </x:c>
      <x:c r="G20" s="15" t="n">
        <x:f>SUMIFS($F$7:$F$54,$A$7:$A$54,A20,$C$7:$C$54,C20)</x:f>
        <x:v>86.6165</x:v>
      </x:c>
      <x:c r="H20" s="15" t="n">
        <x:f>SUMIF(Inputs!$L$7:$L$8,C20,Inputs!$M$7:$M$8)</x:f>
        <x:v>110</x:v>
      </x:c>
      <x:c r="I20" s="16" t="n">
        <x:f>G20/H20</x:f>
        <x:v>0.7874227272727273</x:v>
      </x:c>
      <x:c r="J20" s="9" t="str">
        <x:f>IF(I20&gt;1,"OVER CAPACITY","WITHIN CAPACITY")</x:f>
        <x:v>WITHIN CAPACITY</x:v>
      </x:c>
    </x:row>
    <x:row r="21" ht="25" customHeight="1">
      <x:c r="A21" s="11" t="n">
        <x:f>Demand!A31</x:f>
        <x:v>46478</x:v>
      </x:c>
      <x:c r="B21" s="9" t="str">
        <x:f>Inputs!A9</x:f>
        <x:v>DEMO-03</x:v>
      </x:c>
      <x:c r="C21" s="9" t="str">
        <x:f>Inputs!C9</x:f>
        <x:v>Line B</x:v>
      </x:c>
      <x:c r="D21" s="9" t="n">
        <x:f>SUMIFS(MPS!$J$7:$J$102,MPS!$A$7:$A$102,A21,MPS!$C$7:$C$102,B21)</x:f>
        <x:v>23488</x:v>
      </x:c>
      <x:c r="E21" s="9" t="n">
        <x:f>Inputs!D9</x:f>
        <x:v>650</x:v>
      </x:c>
      <x:c r="F21" s="15" t="n">
        <x:f>D21/E21</x:f>
        <x:v>36.135384615384616</x:v>
      </x:c>
      <x:c r="G21" s="15" t="n">
        <x:f>SUMIFS($F$7:$F$54,$A$7:$A$54,A21,$C$7:$C$54,C21)</x:f>
        <x:v>93.59760683760683</x:v>
      </x:c>
      <x:c r="H21" s="15" t="n">
        <x:f>SUMIF(Inputs!$L$7:$L$8,C21,Inputs!$M$7:$M$8)</x:f>
        <x:v>125</x:v>
      </x:c>
      <x:c r="I21" s="16" t="n">
        <x:f>G21/H21</x:f>
        <x:v>0.7487808547008546</x:v>
      </x:c>
      <x:c r="J21" s="9" t="str">
        <x:f>IF(I21&gt;1,"OVER CAPACITY","WITHIN CAPACITY")</x:f>
        <x:v>WITHIN CAPACITY</x:v>
      </x:c>
    </x:row>
    <x:row r="22" ht="25" customHeight="1">
      <x:c r="A22" s="11" t="n">
        <x:f>Demand!A31</x:f>
        <x:v>46478</x:v>
      </x:c>
      <x:c r="B22" s="9" t="str">
        <x:f>Inputs!A10</x:f>
        <x:v>DEMO-04</x:v>
      </x:c>
      <x:c r="C22" s="9" t="str">
        <x:f>Inputs!C10</x:f>
        <x:v>Line B</x:v>
      </x:c>
      <x:c r="D22" s="9" t="n">
        <x:f>SUMIFS(MPS!$J$7:$J$102,MPS!$A$7:$A$102,A22,MPS!$C$7:$C$102,B22)</x:f>
        <x:v>25858</x:v>
      </x:c>
      <x:c r="E22" s="9" t="n">
        <x:f>Inputs!D10</x:f>
        <x:v>450</x:v>
      </x:c>
      <x:c r="F22" s="15" t="n">
        <x:f>D22/E22</x:f>
        <x:v>57.46222222222222</x:v>
      </x:c>
      <x:c r="G22" s="15" t="n">
        <x:f>SUMIFS($F$7:$F$54,$A$7:$A$54,A22,$C$7:$C$54,C22)</x:f>
        <x:v>93.59760683760683</x:v>
      </x:c>
      <x:c r="H22" s="15" t="n">
        <x:f>SUMIF(Inputs!$L$7:$L$8,C22,Inputs!$M$7:$M$8)</x:f>
        <x:v>125</x:v>
      </x:c>
      <x:c r="I22" s="16" t="n">
        <x:f>G22/H22</x:f>
        <x:v>0.7487808547008546</x:v>
      </x:c>
      <x:c r="J22" s="9" t="str">
        <x:f>IF(I22&gt;1,"OVER CAPACITY","WITHIN CAPACITY")</x:f>
        <x:v>WITHIN CAPACITY</x:v>
      </x:c>
    </x:row>
    <x:row r="23" ht="25" customHeight="1">
      <x:c r="A23" s="11" t="n">
        <x:f>Demand!A39</x:f>
        <x:v>46508</x:v>
      </x:c>
      <x:c r="B23" s="9" t="str">
        <x:f>Inputs!A7</x:f>
        <x:v>DEMO-01</x:v>
      </x:c>
      <x:c r="C23" s="9" t="str">
        <x:f>Inputs!C7</x:f>
        <x:v>Line A</x:v>
      </x:c>
      <x:c r="D23" s="9" t="n">
        <x:f>SUMIFS(MPS!$J$7:$J$102,MPS!$A$7:$A$102,A23,MPS!$C$7:$C$102,B23)</x:f>
        <x:v>18161</x:v>
      </x:c>
      <x:c r="E23" s="9" t="n">
        <x:f>Inputs!D7</x:f>
        <x:v>500</x:v>
      </x:c>
      <x:c r="F23" s="15" t="n">
        <x:f>D23/E23</x:f>
        <x:v>36.322</x:v>
      </x:c>
      <x:c r="G23" s="15" t="n">
        <x:f>SUMIFS($F$7:$F$54,$A$7:$A$54,A23,$C$7:$C$54,C23)</x:f>
        <x:v>89.2945</x:v>
      </x:c>
      <x:c r="H23" s="15" t="n">
        <x:f>SUMIF(Inputs!$L$7:$L$8,C23,Inputs!$M$7:$M$8)</x:f>
        <x:v>110</x:v>
      </x:c>
      <x:c r="I23" s="16" t="n">
        <x:f>G23/H23</x:f>
        <x:v>0.8117681818181818</x:v>
      </x:c>
      <x:c r="J23" s="9" t="str">
        <x:f>IF(I23&gt;1,"OVER CAPACITY","WITHIN CAPACITY")</x:f>
        <x:v>WITHIN CAPACITY</x:v>
      </x:c>
    </x:row>
    <x:row r="24" ht="25" customHeight="1">
      <x:c r="A24" s="11" t="n">
        <x:f>Demand!A39</x:f>
        <x:v>46508</x:v>
      </x:c>
      <x:c r="B24" s="9" t="str">
        <x:f>Inputs!A8</x:f>
        <x:v>DEMO-02</x:v>
      </x:c>
      <x:c r="C24" s="9" t="str">
        <x:f>Inputs!C8</x:f>
        <x:v>Line A</x:v>
      </x:c>
      <x:c r="D24" s="9" t="n">
        <x:f>SUMIFS(MPS!$J$7:$J$102,MPS!$A$7:$A$102,A24,MPS!$C$7:$C$102,B24)</x:f>
        <x:v>21189</x:v>
      </x:c>
      <x:c r="E24" s="9" t="n">
        <x:f>Inputs!D8</x:f>
        <x:v>400</x:v>
      </x:c>
      <x:c r="F24" s="15" t="n">
        <x:f>D24/E24</x:f>
        <x:v>52.9725</x:v>
      </x:c>
      <x:c r="G24" s="15" t="n">
        <x:f>SUMIFS($F$7:$F$54,$A$7:$A$54,A24,$C$7:$C$54,C24)</x:f>
        <x:v>89.2945</x:v>
      </x:c>
      <x:c r="H24" s="15" t="n">
        <x:f>SUMIF(Inputs!$L$7:$L$8,C24,Inputs!$M$7:$M$8)</x:f>
        <x:v>110</x:v>
      </x:c>
      <x:c r="I24" s="16" t="n">
        <x:f>G24/H24</x:f>
        <x:v>0.8117681818181818</x:v>
      </x:c>
      <x:c r="J24" s="9" t="str">
        <x:f>IF(I24&gt;1,"OVER CAPACITY","WITHIN CAPACITY")</x:f>
        <x:v>WITHIN CAPACITY</x:v>
      </x:c>
    </x:row>
    <x:row r="25" ht="25" customHeight="1">
      <x:c r="A25" s="11" t="n">
        <x:f>Demand!A39</x:f>
        <x:v>46508</x:v>
      </x:c>
      <x:c r="B25" s="9" t="str">
        <x:f>Inputs!A9</x:f>
        <x:v>DEMO-03</x:v>
      </x:c>
      <x:c r="C25" s="9" t="str">
        <x:f>Inputs!C9</x:f>
        <x:v>Line B</x:v>
      </x:c>
      <x:c r="D25" s="9" t="n">
        <x:f>SUMIFS(MPS!$J$7:$J$102,MPS!$A$7:$A$102,A25,MPS!$C$7:$C$102,B25)</x:f>
        <x:v>24217</x:v>
      </x:c>
      <x:c r="E25" s="9" t="n">
        <x:f>Inputs!D9</x:f>
        <x:v>650</x:v>
      </x:c>
      <x:c r="F25" s="15" t="n">
        <x:f>D25/E25</x:f>
        <x:v>37.25692307692308</x:v>
      </x:c>
      <x:c r="G25" s="15" t="n">
        <x:f>SUMIFS($F$7:$F$54,$A$7:$A$54,A25,$C$7:$C$54,C25)</x:f>
        <x:v>96.53692307692307</x:v>
      </x:c>
      <x:c r="H25" s="15" t="n">
        <x:f>SUMIF(Inputs!$L$7:$L$8,C25,Inputs!$M$7:$M$8)</x:f>
        <x:v>125</x:v>
      </x:c>
      <x:c r="I25" s="16" t="n">
        <x:f>G25/H25</x:f>
        <x:v>0.7722953846153846</x:v>
      </x:c>
      <x:c r="J25" s="9" t="str">
        <x:f>IF(I25&gt;1,"OVER CAPACITY","WITHIN CAPACITY")</x:f>
        <x:v>WITHIN CAPACITY</x:v>
      </x:c>
    </x:row>
    <x:row r="26" ht="25" customHeight="1">
      <x:c r="A26" s="11" t="n">
        <x:f>Demand!A39</x:f>
        <x:v>46508</x:v>
      </x:c>
      <x:c r="B26" s="9" t="str">
        <x:f>Inputs!A10</x:f>
        <x:v>DEMO-04</x:v>
      </x:c>
      <x:c r="C26" s="9" t="str">
        <x:f>Inputs!C10</x:f>
        <x:v>Line B</x:v>
      </x:c>
      <x:c r="D26" s="9" t="n">
        <x:f>SUMIFS(MPS!$J$7:$J$102,MPS!$A$7:$A$102,A26,MPS!$C$7:$C$102,B26)</x:f>
        <x:v>26676</x:v>
      </x:c>
      <x:c r="E26" s="9" t="n">
        <x:f>Inputs!D10</x:f>
        <x:v>450</x:v>
      </x:c>
      <x:c r="F26" s="15" t="n">
        <x:f>D26/E26</x:f>
        <x:v>59.28</x:v>
      </x:c>
      <x:c r="G26" s="15" t="n">
        <x:f>SUMIFS($F$7:$F$54,$A$7:$A$54,A26,$C$7:$C$54,C26)</x:f>
        <x:v>96.53692307692307</x:v>
      </x:c>
      <x:c r="H26" s="15" t="n">
        <x:f>SUMIF(Inputs!$L$7:$L$8,C26,Inputs!$M$7:$M$8)</x:f>
        <x:v>125</x:v>
      </x:c>
      <x:c r="I26" s="16" t="n">
        <x:f>G26/H26</x:f>
        <x:v>0.7722953846153846</x:v>
      </x:c>
      <x:c r="J26" s="9" t="str">
        <x:f>IF(I26&gt;1,"OVER CAPACITY","WITHIN CAPACITY")</x:f>
        <x:v>WITHIN CAPACITY</x:v>
      </x:c>
    </x:row>
    <x:row r="27" ht="25" customHeight="1">
      <x:c r="A27" s="11" t="n">
        <x:f>Demand!A47</x:f>
        <x:v>46539</x:v>
      </x:c>
      <x:c r="B27" s="9" t="str">
        <x:f>Inputs!A7</x:f>
        <x:v>DEMO-01</x:v>
      </x:c>
      <x:c r="C27" s="9" t="str">
        <x:f>Inputs!C7</x:f>
        <x:v>Line A</x:v>
      </x:c>
      <x:c r="D27" s="9" t="n">
        <x:f>SUMIFS(MPS!$J$7:$J$102,MPS!$A$7:$A$102,A27,MPS!$C$7:$C$102,B27)</x:f>
        <x:v>27952</x:v>
      </x:c>
      <x:c r="E27" s="9" t="n">
        <x:f>Inputs!D7</x:f>
        <x:v>500</x:v>
      </x:c>
      <x:c r="F27" s="15" t="n">
        <x:f>D27/E27</x:f>
        <x:v>55.904</x:v>
      </x:c>
      <x:c r="G27" s="15" t="n">
        <x:f>SUMIFS($F$7:$F$54,$A$7:$A$54,A27,$C$7:$C$54,C27)</x:f>
        <x:v>137.4315</x:v>
      </x:c>
      <x:c r="H27" s="15" t="n">
        <x:f>SUMIF(Inputs!$L$7:$L$8,C27,Inputs!$M$7:$M$8)</x:f>
        <x:v>110</x:v>
      </x:c>
      <x:c r="I27" s="16" t="n">
        <x:f>G27/H27</x:f>
        <x:v>1.2493772727272727</x:v>
      </x:c>
      <x:c r="J27" s="9" t="str">
        <x:f>IF(I27&gt;1,"OVER CAPACITY","WITHIN CAPACITY")</x:f>
        <x:v>OVER CAPACITY</x:v>
      </x:c>
    </x:row>
    <x:row r="28" ht="25" customHeight="1">
      <x:c r="A28" s="11" t="n">
        <x:f>Demand!A47</x:f>
        <x:v>46539</x:v>
      </x:c>
      <x:c r="B28" s="9" t="str">
        <x:f>Inputs!A8</x:f>
        <x:v>DEMO-02</x:v>
      </x:c>
      <x:c r="C28" s="9" t="str">
        <x:f>Inputs!C8</x:f>
        <x:v>Line A</x:v>
      </x:c>
      <x:c r="D28" s="9" t="n">
        <x:f>SUMIFS(MPS!$J$7:$J$102,MPS!$A$7:$A$102,A28,MPS!$C$7:$C$102,B28)</x:f>
        <x:v>32611</x:v>
      </x:c>
      <x:c r="E28" s="9" t="n">
        <x:f>Inputs!D8</x:f>
        <x:v>400</x:v>
      </x:c>
      <x:c r="F28" s="15" t="n">
        <x:f>D28/E28</x:f>
        <x:v>81.5275</x:v>
      </x:c>
      <x:c r="G28" s="15" t="n">
        <x:f>SUMIFS($F$7:$F$54,$A$7:$A$54,A28,$C$7:$C$54,C28)</x:f>
        <x:v>137.4315</x:v>
      </x:c>
      <x:c r="H28" s="15" t="n">
        <x:f>SUMIF(Inputs!$L$7:$L$8,C28,Inputs!$M$7:$M$8)</x:f>
        <x:v>110</x:v>
      </x:c>
      <x:c r="I28" s="16" t="n">
        <x:f>G28/H28</x:f>
        <x:v>1.2493772727272727</x:v>
      </x:c>
      <x:c r="J28" s="9" t="str">
        <x:f>IF(I28&gt;1,"OVER CAPACITY","WITHIN CAPACITY")</x:f>
        <x:v>OVER CAPACITY</x:v>
      </x:c>
    </x:row>
    <x:row r="29" ht="25" customHeight="1">
      <x:c r="A29" s="11" t="n">
        <x:f>Demand!A47</x:f>
        <x:v>46539</x:v>
      </x:c>
      <x:c r="B29" s="9" t="str">
        <x:f>Inputs!A9</x:f>
        <x:v>DEMO-03</x:v>
      </x:c>
      <x:c r="C29" s="9" t="str">
        <x:f>Inputs!C9</x:f>
        <x:v>Line B</x:v>
      </x:c>
      <x:c r="D29" s="9" t="n">
        <x:f>SUMIFS(MPS!$J$7:$J$102,MPS!$A$7:$A$102,A29,MPS!$C$7:$C$102,B29)</x:f>
        <x:v>37268</x:v>
      </x:c>
      <x:c r="E29" s="9" t="n">
        <x:f>Inputs!D9</x:f>
        <x:v>650</x:v>
      </x:c>
      <x:c r="F29" s="15" t="n">
        <x:f>D29/E29</x:f>
        <x:v>57.33538461538461</x:v>
      </x:c>
      <x:c r="G29" s="15" t="n">
        <x:f>SUMIFS($F$7:$F$54,$A$7:$A$54,A29,$C$7:$C$54,C29)</x:f>
        <x:v>136.63760683760682</x:v>
      </x:c>
      <x:c r="H29" s="15" t="n">
        <x:f>SUMIF(Inputs!$L$7:$L$8,C29,Inputs!$M$7:$M$8)</x:f>
        <x:v>125</x:v>
      </x:c>
      <x:c r="I29" s="16" t="n">
        <x:f>G29/H29</x:f>
        <x:v>1.0931008547008545</x:v>
      </x:c>
      <x:c r="J29" s="9" t="str">
        <x:f>IF(I29&gt;1,"OVER CAPACITY","WITHIN CAPACITY")</x:f>
        <x:v>OVER CAPACITY</x:v>
      </x:c>
    </x:row>
    <x:row r="30" ht="25" customHeight="1">
      <x:c r="A30" s="11" t="n">
        <x:f>Demand!A47</x:f>
        <x:v>46539</x:v>
      </x:c>
      <x:c r="B30" s="9" t="str">
        <x:f>Inputs!A10</x:f>
        <x:v>DEMO-04</x:v>
      </x:c>
      <x:c r="C30" s="9" t="str">
        <x:f>Inputs!C10</x:f>
        <x:v>Line B</x:v>
      </x:c>
      <x:c r="D30" s="9" t="n">
        <x:f>SUMIFS(MPS!$J$7:$J$102,MPS!$A$7:$A$102,A30,MPS!$C$7:$C$102,B30)</x:f>
        <x:v>35686</x:v>
      </x:c>
      <x:c r="E30" s="9" t="n">
        <x:f>Inputs!D10</x:f>
        <x:v>450</x:v>
      </x:c>
      <x:c r="F30" s="15" t="n">
        <x:f>D30/E30</x:f>
        <x:v>79.30222222222223</x:v>
      </x:c>
      <x:c r="G30" s="15" t="n">
        <x:f>SUMIFS($F$7:$F$54,$A$7:$A$54,A30,$C$7:$C$54,C30)</x:f>
        <x:v>136.63760683760682</x:v>
      </x:c>
      <x:c r="H30" s="15" t="n">
        <x:f>SUMIF(Inputs!$L$7:$L$8,C30,Inputs!$M$7:$M$8)</x:f>
        <x:v>125</x:v>
      </x:c>
      <x:c r="I30" s="16" t="n">
        <x:f>G30/H30</x:f>
        <x:v>1.0931008547008545</x:v>
      </x:c>
      <x:c r="J30" s="9" t="str">
        <x:f>IF(I30&gt;1,"OVER CAPACITY","WITHIN CAPACITY")</x:f>
        <x:v>OVER CAPACITY</x:v>
      </x:c>
    </x:row>
    <x:row r="31" ht="25" customHeight="1">
      <x:c r="A31" s="11" t="n">
        <x:f>Demand!A55</x:f>
        <x:v>46569</x:v>
      </x:c>
      <x:c r="B31" s="9" t="str">
        <x:f>Inputs!A7</x:f>
        <x:v>DEMO-01</x:v>
      </x:c>
      <x:c r="C31" s="9" t="str">
        <x:f>Inputs!C7</x:f>
        <x:v>Line A</x:v>
      </x:c>
      <x:c r="D31" s="9" t="n">
        <x:f>SUMIFS(MPS!$J$7:$J$102,MPS!$A$7:$A$102,A31,MPS!$C$7:$C$102,B31)</x:f>
        <x:v>15471</x:v>
      </x:c>
      <x:c r="E31" s="9" t="n">
        <x:f>Inputs!D7</x:f>
        <x:v>500</x:v>
      </x:c>
      <x:c r="F31" s="15" t="n">
        <x:f>D31/E31</x:f>
        <x:v>30.942</x:v>
      </x:c>
      <x:c r="G31" s="15" t="n">
        <x:f>SUMIFS($F$7:$F$54,$A$7:$A$54,A31,$C$7:$C$54,C31)</x:f>
        <x:v>76.06700000000001</x:v>
      </x:c>
      <x:c r="H31" s="15" t="n">
        <x:f>SUMIF(Inputs!$L$7:$L$8,C31,Inputs!$M$7:$M$8)</x:f>
        <x:v>110</x:v>
      </x:c>
      <x:c r="I31" s="16" t="n">
        <x:f>G31/H31</x:f>
        <x:v>0.6915181818181819</x:v>
      </x:c>
      <x:c r="J31" s="9" t="str">
        <x:f>IF(I31&gt;1,"OVER CAPACITY","WITHIN CAPACITY")</x:f>
        <x:v>WITHIN CAPACITY</x:v>
      </x:c>
    </x:row>
    <x:row r="32" ht="25" customHeight="1">
      <x:c r="A32" s="11" t="n">
        <x:f>Demand!A55</x:f>
        <x:v>46569</x:v>
      </x:c>
      <x:c r="B32" s="9" t="str">
        <x:f>Inputs!A8</x:f>
        <x:v>DEMO-02</x:v>
      </x:c>
      <x:c r="C32" s="9" t="str">
        <x:f>Inputs!C8</x:f>
        <x:v>Line A</x:v>
      </x:c>
      <x:c r="D32" s="9" t="n">
        <x:f>SUMIFS(MPS!$J$7:$J$102,MPS!$A$7:$A$102,A32,MPS!$C$7:$C$102,B32)</x:f>
        <x:v>18050</x:v>
      </x:c>
      <x:c r="E32" s="9" t="n">
        <x:f>Inputs!D8</x:f>
        <x:v>400</x:v>
      </x:c>
      <x:c r="F32" s="15" t="n">
        <x:f>D32/E32</x:f>
        <x:v>45.125</x:v>
      </x:c>
      <x:c r="G32" s="15" t="n">
        <x:f>SUMIFS($F$7:$F$54,$A$7:$A$54,A32,$C$7:$C$54,C32)</x:f>
        <x:v>76.06700000000001</x:v>
      </x:c>
      <x:c r="H32" s="15" t="n">
        <x:f>SUMIF(Inputs!$L$7:$L$8,C32,Inputs!$M$7:$M$8)</x:f>
        <x:v>110</x:v>
      </x:c>
      <x:c r="I32" s="16" t="n">
        <x:f>G32/H32</x:f>
        <x:v>0.6915181818181819</x:v>
      </x:c>
      <x:c r="J32" s="9" t="str">
        <x:f>IF(I32&gt;1,"OVER CAPACITY","WITHIN CAPACITY")</x:f>
        <x:v>WITHIN CAPACITY</x:v>
      </x:c>
    </x:row>
    <x:row r="33" ht="25" customHeight="1">
      <x:c r="A33" s="11" t="n">
        <x:f>Demand!A55</x:f>
        <x:v>46569</x:v>
      </x:c>
      <x:c r="B33" s="9" t="str">
        <x:f>Inputs!A9</x:f>
        <x:v>DEMO-03</x:v>
      </x:c>
      <x:c r="C33" s="9" t="str">
        <x:f>Inputs!C9</x:f>
        <x:v>Line B</x:v>
      </x:c>
      <x:c r="D33" s="9" t="n">
        <x:f>SUMIFS(MPS!$J$7:$J$102,MPS!$A$7:$A$102,A33,MPS!$C$7:$C$102,B33)</x:f>
        <x:v>20629</x:v>
      </x:c>
      <x:c r="E33" s="9" t="n">
        <x:f>Inputs!D9</x:f>
        <x:v>650</x:v>
      </x:c>
      <x:c r="F33" s="15" t="n">
        <x:f>D33/E33</x:f>
        <x:v>31.736923076923077</x:v>
      </x:c>
      <x:c r="G33" s="15" t="n">
        <x:f>SUMIFS($F$7:$F$54,$A$7:$A$54,A33,$C$7:$C$54,C33)</x:f>
        <x:v>94.65692307692308</x:v>
      </x:c>
      <x:c r="H33" s="15" t="n">
        <x:f>SUMIF(Inputs!$L$7:$L$8,C33,Inputs!$M$7:$M$8)</x:f>
        <x:v>125</x:v>
      </x:c>
      <x:c r="I33" s="16" t="n">
        <x:f>G33/H33</x:f>
        <x:v>0.7572553846153847</x:v>
      </x:c>
      <x:c r="J33" s="9" t="str">
        <x:f>IF(I33&gt;1,"OVER CAPACITY","WITHIN CAPACITY")</x:f>
        <x:v>WITHIN CAPACITY</x:v>
      </x:c>
    </x:row>
    <x:row r="34" ht="25" customHeight="1">
      <x:c r="A34" s="11" t="n">
        <x:f>Demand!A55</x:f>
        <x:v>46569</x:v>
      </x:c>
      <x:c r="B34" s="9" t="str">
        <x:f>Inputs!A10</x:f>
        <x:v>DEMO-04</x:v>
      </x:c>
      <x:c r="C34" s="9" t="str">
        <x:f>Inputs!C10</x:f>
        <x:v>Line B</x:v>
      </x:c>
      <x:c r="D34" s="9" t="n">
        <x:f>SUMIFS(MPS!$J$7:$J$102,MPS!$A$7:$A$102,A34,MPS!$C$7:$C$102,B34)</x:f>
        <x:v>28314</x:v>
      </x:c>
      <x:c r="E34" s="9" t="n">
        <x:f>Inputs!D10</x:f>
        <x:v>450</x:v>
      </x:c>
      <x:c r="F34" s="15" t="n">
        <x:f>D34/E34</x:f>
        <x:v>62.92</x:v>
      </x:c>
      <x:c r="G34" s="15" t="n">
        <x:f>SUMIFS($F$7:$F$54,$A$7:$A$54,A34,$C$7:$C$54,C34)</x:f>
        <x:v>94.65692307692308</x:v>
      </x:c>
      <x:c r="H34" s="15" t="n">
        <x:f>SUMIF(Inputs!$L$7:$L$8,C34,Inputs!$M$7:$M$8)</x:f>
        <x:v>125</x:v>
      </x:c>
      <x:c r="I34" s="16" t="n">
        <x:f>G34/H34</x:f>
        <x:v>0.7572553846153847</x:v>
      </x:c>
      <x:c r="J34" s="9" t="str">
        <x:f>IF(I34&gt;1,"OVER CAPACITY","WITHIN CAPACITY")</x:f>
        <x:v>WITHIN CAPACITY</x:v>
      </x:c>
    </x:row>
    <x:row r="35" ht="25" customHeight="1">
      <x:c r="A35" s="11" t="n">
        <x:f>Demand!A63</x:f>
        <x:v>46600</x:v>
      </x:c>
      <x:c r="B35" s="9" t="str">
        <x:f>Inputs!A7</x:f>
        <x:v>DEMO-01</x:v>
      </x:c>
      <x:c r="C35" s="9" t="str">
        <x:f>Inputs!C7</x:f>
        <x:v>Line A</x:v>
      </x:c>
      <x:c r="D35" s="9" t="n">
        <x:f>SUMIFS(MPS!$J$7:$J$102,MPS!$A$7:$A$102,A35,MPS!$C$7:$C$102,B35)</x:f>
        <x:v>19801</x:v>
      </x:c>
      <x:c r="E35" s="9" t="n">
        <x:f>Inputs!D7</x:f>
        <x:v>500</x:v>
      </x:c>
      <x:c r="F35" s="15" t="n">
        <x:f>D35/E35</x:f>
        <x:v>39.602</x:v>
      </x:c>
      <x:c r="G35" s="15" t="n">
        <x:f>SUMIFS($F$7:$F$54,$A$7:$A$54,A35,$C$7:$C$54,C35)</x:f>
        <x:v>97.3545</x:v>
      </x:c>
      <x:c r="H35" s="15" t="n">
        <x:f>SUMIF(Inputs!$L$7:$L$8,C35,Inputs!$M$7:$M$8)</x:f>
        <x:v>110</x:v>
      </x:c>
      <x:c r="I35" s="16" t="n">
        <x:f>G35/H35</x:f>
        <x:v>0.8850409090909092</x:v>
      </x:c>
      <x:c r="J35" s="9" t="str">
        <x:f>IF(I35&gt;1,"OVER CAPACITY","WITHIN CAPACITY")</x:f>
        <x:v>WITHIN CAPACITY</x:v>
      </x:c>
    </x:row>
    <x:row r="36" ht="25" customHeight="1">
      <x:c r="A36" s="11" t="n">
        <x:f>Demand!A63</x:f>
        <x:v>46600</x:v>
      </x:c>
      <x:c r="B36" s="9" t="str">
        <x:f>Inputs!A8</x:f>
        <x:v>DEMO-02</x:v>
      </x:c>
      <x:c r="C36" s="9" t="str">
        <x:f>Inputs!C8</x:f>
        <x:v>Line A</x:v>
      </x:c>
      <x:c r="D36" s="9" t="n">
        <x:f>SUMIFS(MPS!$J$7:$J$102,MPS!$A$7:$A$102,A36,MPS!$C$7:$C$102,B36)</x:f>
        <x:v>23101</x:v>
      </x:c>
      <x:c r="E36" s="9" t="n">
        <x:f>Inputs!D8</x:f>
        <x:v>400</x:v>
      </x:c>
      <x:c r="F36" s="15" t="n">
        <x:f>D36/E36</x:f>
        <x:v>57.7525</x:v>
      </x:c>
      <x:c r="G36" s="15" t="n">
        <x:f>SUMIFS($F$7:$F$54,$A$7:$A$54,A36,$C$7:$C$54,C36)</x:f>
        <x:v>97.3545</x:v>
      </x:c>
      <x:c r="H36" s="15" t="n">
        <x:f>SUMIF(Inputs!$L$7:$L$8,C36,Inputs!$M$7:$M$8)</x:f>
        <x:v>110</x:v>
      </x:c>
      <x:c r="I36" s="16" t="n">
        <x:f>G36/H36</x:f>
        <x:v>0.8850409090909092</x:v>
      </x:c>
      <x:c r="J36" s="9" t="str">
        <x:f>IF(I36&gt;1,"OVER CAPACITY","WITHIN CAPACITY")</x:f>
        <x:v>WITHIN CAPACITY</x:v>
      </x:c>
    </x:row>
    <x:row r="37" ht="25" customHeight="1">
      <x:c r="A37" s="11" t="n">
        <x:f>Demand!A63</x:f>
        <x:v>46600</x:v>
      </x:c>
      <x:c r="B37" s="9" t="str">
        <x:f>Inputs!A9</x:f>
        <x:v>DEMO-03</x:v>
      </x:c>
      <x:c r="C37" s="9" t="str">
        <x:f>Inputs!C9</x:f>
        <x:v>Line B</x:v>
      </x:c>
      <x:c r="D37" s="9" t="n">
        <x:f>SUMIFS(MPS!$J$7:$J$102,MPS!$A$7:$A$102,A37,MPS!$C$7:$C$102,B37)</x:f>
        <x:v>26399</x:v>
      </x:c>
      <x:c r="E37" s="9" t="n">
        <x:f>Inputs!D9</x:f>
        <x:v>650</x:v>
      </x:c>
      <x:c r="F37" s="15" t="n">
        <x:f>D37/E37</x:f>
        <x:v>40.613846153846154</x:v>
      </x:c>
      <x:c r="G37" s="15" t="n">
        <x:f>SUMIFS($F$7:$F$54,$A$7:$A$54,A37,$C$7:$C$54,C37)</x:f>
        <x:v>105.35606837606838</x:v>
      </x:c>
      <x:c r="H37" s="15" t="n">
        <x:f>SUMIF(Inputs!$L$7:$L$8,C37,Inputs!$M$7:$M$8)</x:f>
        <x:v>125</x:v>
      </x:c>
      <x:c r="I37" s="16" t="n">
        <x:f>G37/H37</x:f>
        <x:v>0.842848547008547</x:v>
      </x:c>
      <x:c r="J37" s="9" t="str">
        <x:f>IF(I37&gt;1,"OVER CAPACITY","WITHIN CAPACITY")</x:f>
        <x:v>WITHIN CAPACITY</x:v>
      </x:c>
    </x:row>
    <x:row r="38" ht="25" customHeight="1">
      <x:c r="A38" s="11" t="n">
        <x:f>Demand!A63</x:f>
        <x:v>46600</x:v>
      </x:c>
      <x:c r="B38" s="9" t="str">
        <x:f>Inputs!A10</x:f>
        <x:v>DEMO-04</x:v>
      </x:c>
      <x:c r="C38" s="9" t="str">
        <x:f>Inputs!C10</x:f>
        <x:v>Line B</x:v>
      </x:c>
      <x:c r="D38" s="9" t="n">
        <x:f>SUMIFS(MPS!$J$7:$J$102,MPS!$A$7:$A$102,A38,MPS!$C$7:$C$102,B38)</x:f>
        <x:v>29134</x:v>
      </x:c>
      <x:c r="E38" s="9" t="n">
        <x:f>Inputs!D10</x:f>
        <x:v>450</x:v>
      </x:c>
      <x:c r="F38" s="15" t="n">
        <x:f>D38/E38</x:f>
        <x:v>64.74222222222222</x:v>
      </x:c>
      <x:c r="G38" s="15" t="n">
        <x:f>SUMIFS($F$7:$F$54,$A$7:$A$54,A38,$C$7:$C$54,C38)</x:f>
        <x:v>105.35606837606838</x:v>
      </x:c>
      <x:c r="H38" s="15" t="n">
        <x:f>SUMIF(Inputs!$L$7:$L$8,C38,Inputs!$M$7:$M$8)</x:f>
        <x:v>125</x:v>
      </x:c>
      <x:c r="I38" s="16" t="n">
        <x:f>G38/H38</x:f>
        <x:v>0.842848547008547</x:v>
      </x:c>
      <x:c r="J38" s="9" t="str">
        <x:f>IF(I38&gt;1,"OVER CAPACITY","WITHIN CAPACITY")</x:f>
        <x:v>WITHIN CAPACITY</x:v>
      </x:c>
    </x:row>
    <x:row r="39" ht="25" customHeight="1">
      <x:c r="A39" s="11" t="n">
        <x:f>Demand!A71</x:f>
        <x:v>46631</x:v>
      </x:c>
      <x:c r="B39" s="9" t="str">
        <x:f>Inputs!A7</x:f>
        <x:v>DEMO-01</x:v>
      </x:c>
      <x:c r="C39" s="9" t="str">
        <x:f>Inputs!C7</x:f>
        <x:v>Line A</x:v>
      </x:c>
      <x:c r="D39" s="9" t="n">
        <x:f>SUMIFS(MPS!$J$7:$J$102,MPS!$A$7:$A$102,A39,MPS!$C$7:$C$102,B39)</x:f>
        <x:v>20345</x:v>
      </x:c>
      <x:c r="E39" s="9" t="n">
        <x:f>Inputs!D7</x:f>
        <x:v>500</x:v>
      </x:c>
      <x:c r="F39" s="15" t="n">
        <x:f>D39/E39</x:f>
        <x:v>40.69</x:v>
      </x:c>
      <x:c r="G39" s="15" t="n">
        <x:f>SUMIFS($F$7:$F$54,$A$7:$A$54,A39,$C$7:$C$54,C39)</x:f>
        <x:v>100.0325</x:v>
      </x:c>
      <x:c r="H39" s="15" t="n">
        <x:f>SUMIF(Inputs!$L$7:$L$8,C39,Inputs!$M$7:$M$8)</x:f>
        <x:v>110</x:v>
      </x:c>
      <x:c r="I39" s="16" t="n">
        <x:f>G39/H39</x:f>
        <x:v>0.9093863636363636</x:v>
      </x:c>
      <x:c r="J39" s="9" t="str">
        <x:f>IF(I39&gt;1,"OVER CAPACITY","WITHIN CAPACITY")</x:f>
        <x:v>WITHIN CAPACITY</x:v>
      </x:c>
    </x:row>
    <x:row r="40" ht="25" customHeight="1">
      <x:c r="A40" s="11" t="n">
        <x:f>Demand!A71</x:f>
        <x:v>46631</x:v>
      </x:c>
      <x:c r="B40" s="9" t="str">
        <x:f>Inputs!A8</x:f>
        <x:v>DEMO-02</x:v>
      </x:c>
      <x:c r="C40" s="9" t="str">
        <x:f>Inputs!C8</x:f>
        <x:v>Line A</x:v>
      </x:c>
      <x:c r="D40" s="9" t="n">
        <x:f>SUMIFS(MPS!$J$7:$J$102,MPS!$A$7:$A$102,A40,MPS!$C$7:$C$102,B40)</x:f>
        <x:v>23737</x:v>
      </x:c>
      <x:c r="E40" s="9" t="n">
        <x:f>Inputs!D8</x:f>
        <x:v>400</x:v>
      </x:c>
      <x:c r="F40" s="15" t="n">
        <x:f>D40/E40</x:f>
        <x:v>59.3425</x:v>
      </x:c>
      <x:c r="G40" s="15" t="n">
        <x:f>SUMIFS($F$7:$F$54,$A$7:$A$54,A40,$C$7:$C$54,C40)</x:f>
        <x:v>100.0325</x:v>
      </x:c>
      <x:c r="H40" s="15" t="n">
        <x:f>SUMIF(Inputs!$L$7:$L$8,C40,Inputs!$M$7:$M$8)</x:f>
        <x:v>110</x:v>
      </x:c>
      <x:c r="I40" s="16" t="n">
        <x:f>G40/H40</x:f>
        <x:v>0.9093863636363636</x:v>
      </x:c>
      <x:c r="J40" s="9" t="str">
        <x:f>IF(I40&gt;1,"OVER CAPACITY","WITHIN CAPACITY")</x:f>
        <x:v>WITHIN CAPACITY</x:v>
      </x:c>
    </x:row>
    <x:row r="41" ht="25" customHeight="1">
      <x:c r="A41" s="11" t="n">
        <x:f>Demand!A71</x:f>
        <x:v>46631</x:v>
      </x:c>
      <x:c r="B41" s="9" t="str">
        <x:f>Inputs!A9</x:f>
        <x:v>DEMO-03</x:v>
      </x:c>
      <x:c r="C41" s="9" t="str">
        <x:f>Inputs!C9</x:f>
        <x:v>Line B</x:v>
      </x:c>
      <x:c r="D41" s="9" t="n">
        <x:f>SUMIFS(MPS!$J$7:$J$102,MPS!$A$7:$A$102,A41,MPS!$C$7:$C$102,B41)</x:f>
        <x:v>27129</x:v>
      </x:c>
      <x:c r="E41" s="9" t="n">
        <x:f>Inputs!D9</x:f>
        <x:v>650</x:v>
      </x:c>
      <x:c r="F41" s="15" t="n">
        <x:f>D41/E41</x:f>
        <x:v>41.73692307692308</x:v>
      </x:c>
      <x:c r="G41" s="15" t="n">
        <x:f>SUMIFS($F$7:$F$54,$A$7:$A$54,A41,$C$7:$C$54,C41)</x:f>
        <x:v>108.29692307692308</x:v>
      </x:c>
      <x:c r="H41" s="15" t="n">
        <x:f>SUMIF(Inputs!$L$7:$L$8,C41,Inputs!$M$7:$M$8)</x:f>
        <x:v>125</x:v>
      </x:c>
      <x:c r="I41" s="16" t="n">
        <x:f>G41/H41</x:f>
        <x:v>0.8663753846153847</x:v>
      </x:c>
      <x:c r="J41" s="9" t="str">
        <x:f>IF(I41&gt;1,"OVER CAPACITY","WITHIN CAPACITY")</x:f>
        <x:v>WITHIN CAPACITY</x:v>
      </x:c>
    </x:row>
    <x:row r="42" ht="25" customHeight="1">
      <x:c r="A42" s="11" t="n">
        <x:f>Demand!A71</x:f>
        <x:v>46631</x:v>
      </x:c>
      <x:c r="B42" s="9" t="str">
        <x:f>Inputs!A10</x:f>
        <x:v>DEMO-04</x:v>
      </x:c>
      <x:c r="C42" s="9" t="str">
        <x:f>Inputs!C10</x:f>
        <x:v>Line B</x:v>
      </x:c>
      <x:c r="D42" s="9" t="n">
        <x:f>SUMIFS(MPS!$J$7:$J$102,MPS!$A$7:$A$102,A42,MPS!$C$7:$C$102,B42)</x:f>
        <x:v>29952</x:v>
      </x:c>
      <x:c r="E42" s="9" t="n">
        <x:f>Inputs!D10</x:f>
        <x:v>450</x:v>
      </x:c>
      <x:c r="F42" s="15" t="n">
        <x:f>D42/E42</x:f>
        <x:v>66.56</x:v>
      </x:c>
      <x:c r="G42" s="15" t="n">
        <x:f>SUMIFS($F$7:$F$54,$A$7:$A$54,A42,$C$7:$C$54,C42)</x:f>
        <x:v>108.29692307692308</x:v>
      </x:c>
      <x:c r="H42" s="15" t="n">
        <x:f>SUMIF(Inputs!$L$7:$L$8,C42,Inputs!$M$7:$M$8)</x:f>
        <x:v>125</x:v>
      </x:c>
      <x:c r="I42" s="16" t="n">
        <x:f>G42/H42</x:f>
        <x:v>0.8663753846153847</x:v>
      </x:c>
      <x:c r="J42" s="9" t="str">
        <x:f>IF(I42&gt;1,"OVER CAPACITY","WITHIN CAPACITY")</x:f>
        <x:v>WITHIN CAPACITY</x:v>
      </x:c>
    </x:row>
    <x:row r="43" ht="25" customHeight="1">
      <x:c r="A43" s="11" t="n">
        <x:f>Demand!A79</x:f>
        <x:v>46661</x:v>
      </x:c>
      <x:c r="B43" s="9" t="str">
        <x:f>Inputs!A7</x:f>
        <x:v>DEMO-01</x:v>
      </x:c>
      <x:c r="C43" s="9" t="str">
        <x:f>Inputs!C7</x:f>
        <x:v>Line A</x:v>
      </x:c>
      <x:c r="D43" s="9" t="n">
        <x:f>SUMIFS(MPS!$J$7:$J$102,MPS!$A$7:$A$102,A43,MPS!$C$7:$C$102,B43)</x:f>
        <x:v>20893</x:v>
      </x:c>
      <x:c r="E43" s="9" t="n">
        <x:f>Inputs!D7</x:f>
        <x:v>500</x:v>
      </x:c>
      <x:c r="F43" s="15" t="n">
        <x:f>D43/E43</x:f>
        <x:v>41.786</x:v>
      </x:c>
      <x:c r="G43" s="15" t="n">
        <x:f>SUMIFS($F$7:$F$54,$A$7:$A$54,A43,$C$7:$C$54,C43)</x:f>
        <x:v>102.7285</x:v>
      </x:c>
      <x:c r="H43" s="15" t="n">
        <x:f>SUMIF(Inputs!$L$7:$L$8,C43,Inputs!$M$7:$M$8)</x:f>
        <x:v>110</x:v>
      </x:c>
      <x:c r="I43" s="16" t="n">
        <x:f>G43/H43</x:f>
        <x:v>0.9338954545454545</x:v>
      </x:c>
      <x:c r="J43" s="9" t="str">
        <x:f>IF(I43&gt;1,"OVER CAPACITY","WITHIN CAPACITY")</x:f>
        <x:v>WITHIN CAPACITY</x:v>
      </x:c>
    </x:row>
    <x:row r="44" ht="25" customHeight="1">
      <x:c r="A44" s="11" t="n">
        <x:f>Demand!A79</x:f>
        <x:v>46661</x:v>
      </x:c>
      <x:c r="B44" s="9" t="str">
        <x:f>Inputs!A8</x:f>
        <x:v>DEMO-02</x:v>
      </x:c>
      <x:c r="C44" s="9" t="str">
        <x:f>Inputs!C8</x:f>
        <x:v>Line A</x:v>
      </x:c>
      <x:c r="D44" s="9" t="n">
        <x:f>SUMIFS(MPS!$J$7:$J$102,MPS!$A$7:$A$102,A44,MPS!$C$7:$C$102,B44)</x:f>
        <x:v>24377</x:v>
      </x:c>
      <x:c r="E44" s="9" t="n">
        <x:f>Inputs!D8</x:f>
        <x:v>400</x:v>
      </x:c>
      <x:c r="F44" s="15" t="n">
        <x:f>D44/E44</x:f>
        <x:v>60.9425</x:v>
      </x:c>
      <x:c r="G44" s="15" t="n">
        <x:f>SUMIFS($F$7:$F$54,$A$7:$A$54,A44,$C$7:$C$54,C44)</x:f>
        <x:v>102.7285</x:v>
      </x:c>
      <x:c r="H44" s="15" t="n">
        <x:f>SUMIF(Inputs!$L$7:$L$8,C44,Inputs!$M$7:$M$8)</x:f>
        <x:v>110</x:v>
      </x:c>
      <x:c r="I44" s="16" t="n">
        <x:f>G44/H44</x:f>
        <x:v>0.9338954545454545</x:v>
      </x:c>
      <x:c r="J44" s="9" t="str">
        <x:f>IF(I44&gt;1,"OVER CAPACITY","WITHIN CAPACITY")</x:f>
        <x:v>WITHIN CAPACITY</x:v>
      </x:c>
    </x:row>
    <x:row r="45" ht="25" customHeight="1">
      <x:c r="A45" s="11" t="n">
        <x:f>Demand!A79</x:f>
        <x:v>46661</x:v>
      </x:c>
      <x:c r="B45" s="9" t="str">
        <x:f>Inputs!A9</x:f>
        <x:v>DEMO-03</x:v>
      </x:c>
      <x:c r="C45" s="9" t="str">
        <x:f>Inputs!C9</x:f>
        <x:v>Line B</x:v>
      </x:c>
      <x:c r="D45" s="9" t="n">
        <x:f>SUMIFS(MPS!$J$7:$J$102,MPS!$A$7:$A$102,A45,MPS!$C$7:$C$102,B45)</x:f>
        <x:v>27857</x:v>
      </x:c>
      <x:c r="E45" s="9" t="n">
        <x:f>Inputs!D9</x:f>
        <x:v>650</x:v>
      </x:c>
      <x:c r="F45" s="15" t="n">
        <x:f>D45/E45</x:f>
        <x:v>42.856923076923074</x:v>
      </x:c>
      <x:c r="G45" s="15" t="n">
        <x:f>SUMIFS($F$7:$F$54,$A$7:$A$54,A45,$C$7:$C$54,C45)</x:f>
        <x:v>111.23914529914529</x:v>
      </x:c>
      <x:c r="H45" s="15" t="n">
        <x:f>SUMIF(Inputs!$L$7:$L$8,C45,Inputs!$M$7:$M$8)</x:f>
        <x:v>125</x:v>
      </x:c>
      <x:c r="I45" s="16" t="n">
        <x:f>G45/H45</x:f>
        <x:v>0.8899131623931623</x:v>
      </x:c>
      <x:c r="J45" s="9" t="str">
        <x:f>IF(I45&gt;1,"OVER CAPACITY","WITHIN CAPACITY")</x:f>
        <x:v>WITHIN CAPACITY</x:v>
      </x:c>
    </x:row>
    <x:row r="46" ht="25" customHeight="1">
      <x:c r="A46" s="11" t="n">
        <x:f>Demand!A79</x:f>
        <x:v>46661</x:v>
      </x:c>
      <x:c r="B46" s="9" t="str">
        <x:f>Inputs!A10</x:f>
        <x:v>DEMO-04</x:v>
      </x:c>
      <x:c r="C46" s="9" t="str">
        <x:f>Inputs!C10</x:f>
        <x:v>Line B</x:v>
      </x:c>
      <x:c r="D46" s="9" t="n">
        <x:f>SUMIFS(MPS!$J$7:$J$102,MPS!$A$7:$A$102,A46,MPS!$C$7:$C$102,B46)</x:f>
        <x:v>30772</x:v>
      </x:c>
      <x:c r="E46" s="9" t="n">
        <x:f>Inputs!D10</x:f>
        <x:v>450</x:v>
      </x:c>
      <x:c r="F46" s="15" t="n">
        <x:f>D46/E46</x:f>
        <x:v>68.38222222222223</x:v>
      </x:c>
      <x:c r="G46" s="15" t="n">
        <x:f>SUMIFS($F$7:$F$54,$A$7:$A$54,A46,$C$7:$C$54,C46)</x:f>
        <x:v>111.23914529914529</x:v>
      </x:c>
      <x:c r="H46" s="15" t="n">
        <x:f>SUMIF(Inputs!$L$7:$L$8,C46,Inputs!$M$7:$M$8)</x:f>
        <x:v>125</x:v>
      </x:c>
      <x:c r="I46" s="16" t="n">
        <x:f>G46/H46</x:f>
        <x:v>0.8899131623931623</x:v>
      </x:c>
      <x:c r="J46" s="9" t="str">
        <x:f>IF(I46&gt;1,"OVER CAPACITY","WITHIN CAPACITY")</x:f>
        <x:v>WITHIN CAPACITY</x:v>
      </x:c>
    </x:row>
    <x:row r="47" ht="25" customHeight="1">
      <x:c r="A47" s="11" t="n">
        <x:f>Demand!A87</x:f>
        <x:v>46692</x:v>
      </x:c>
      <x:c r="B47" s="9" t="str">
        <x:f>Inputs!A7</x:f>
        <x:v>DEMO-01</x:v>
      </x:c>
      <x:c r="C47" s="9" t="str">
        <x:f>Inputs!C7</x:f>
        <x:v>Line A</x:v>
      </x:c>
      <x:c r="D47" s="9" t="n">
        <x:f>SUMIFS(MPS!$J$7:$J$102,MPS!$A$7:$A$102,A47,MPS!$C$7:$C$102,B47)</x:f>
        <x:v>21438</x:v>
      </x:c>
      <x:c r="E47" s="9" t="n">
        <x:f>Inputs!D7</x:f>
        <x:v>500</x:v>
      </x:c>
      <x:c r="F47" s="15" t="n">
        <x:f>D47/E47</x:f>
        <x:v>42.876</x:v>
      </x:c>
      <x:c r="G47" s="15" t="n">
        <x:f>SUMIFS($F$7:$F$54,$A$7:$A$54,A47,$C$7:$C$54,C47)</x:f>
        <x:v>105.401</x:v>
      </x:c>
      <x:c r="H47" s="15" t="n">
        <x:f>SUMIF(Inputs!$L$7:$L$8,C47,Inputs!$M$7:$M$8)</x:f>
        <x:v>110</x:v>
      </x:c>
      <x:c r="I47" s="16" t="n">
        <x:f>G47/H47</x:f>
        <x:v>0.9581909090909091</x:v>
      </x:c>
      <x:c r="J47" s="9" t="str">
        <x:f>IF(I47&gt;1,"OVER CAPACITY","WITHIN CAPACITY")</x:f>
        <x:v>WITHIN CAPACITY</x:v>
      </x:c>
    </x:row>
    <x:row r="48" ht="25" customHeight="1">
      <x:c r="A48" s="11" t="n">
        <x:f>Demand!A87</x:f>
        <x:v>46692</x:v>
      </x:c>
      <x:c r="B48" s="9" t="str">
        <x:f>Inputs!A8</x:f>
        <x:v>DEMO-02</x:v>
      </x:c>
      <x:c r="C48" s="9" t="str">
        <x:f>Inputs!C8</x:f>
        <x:v>Line A</x:v>
      </x:c>
      <x:c r="D48" s="9" t="n">
        <x:f>SUMIFS(MPS!$J$7:$J$102,MPS!$A$7:$A$102,A48,MPS!$C$7:$C$102,B48)</x:f>
        <x:v>25010</x:v>
      </x:c>
      <x:c r="E48" s="9" t="n">
        <x:f>Inputs!D8</x:f>
        <x:v>400</x:v>
      </x:c>
      <x:c r="F48" s="15" t="n">
        <x:f>D48/E48</x:f>
        <x:v>62.525</x:v>
      </x:c>
      <x:c r="G48" s="15" t="n">
        <x:f>SUMIFS($F$7:$F$54,$A$7:$A$54,A48,$C$7:$C$54,C48)</x:f>
        <x:v>105.401</x:v>
      </x:c>
      <x:c r="H48" s="15" t="n">
        <x:f>SUMIF(Inputs!$L$7:$L$8,C48,Inputs!$M$7:$M$8)</x:f>
        <x:v>110</x:v>
      </x:c>
      <x:c r="I48" s="16" t="n">
        <x:f>G48/H48</x:f>
        <x:v>0.9581909090909091</x:v>
      </x:c>
      <x:c r="J48" s="9" t="str">
        <x:f>IF(I48&gt;1,"OVER CAPACITY","WITHIN CAPACITY")</x:f>
        <x:v>WITHIN CAPACITY</x:v>
      </x:c>
    </x:row>
    <x:row r="49" ht="25" customHeight="1">
      <x:c r="A49" s="11" t="n">
        <x:f>Demand!A87</x:f>
        <x:v>46692</x:v>
      </x:c>
      <x:c r="B49" s="9" t="str">
        <x:f>Inputs!A9</x:f>
        <x:v>DEMO-03</x:v>
      </x:c>
      <x:c r="C49" s="9" t="str">
        <x:f>Inputs!C9</x:f>
        <x:v>Line B</x:v>
      </x:c>
      <x:c r="D49" s="9" t="n">
        <x:f>SUMIFS(MPS!$J$7:$J$102,MPS!$A$7:$A$102,A49,MPS!$C$7:$C$102,B49)</x:f>
        <x:v>28584</x:v>
      </x:c>
      <x:c r="E49" s="9" t="n">
        <x:f>Inputs!D9</x:f>
        <x:v>650</x:v>
      </x:c>
      <x:c r="F49" s="15" t="n">
        <x:f>D49/E49</x:f>
        <x:v>43.97538461538461</x:v>
      </x:c>
      <x:c r="G49" s="15" t="n">
        <x:f>SUMIFS($F$7:$F$54,$A$7:$A$54,A49,$C$7:$C$54,C49)</x:f>
        <x:v>114.17538461538462</x:v>
      </x:c>
      <x:c r="H49" s="15" t="n">
        <x:f>SUMIF(Inputs!$L$7:$L$8,C49,Inputs!$M$7:$M$8)</x:f>
        <x:v>125</x:v>
      </x:c>
      <x:c r="I49" s="16" t="n">
        <x:f>G49/H49</x:f>
        <x:v>0.9134030769230769</x:v>
      </x:c>
      <x:c r="J49" s="9" t="str">
        <x:f>IF(I49&gt;1,"OVER CAPACITY","WITHIN CAPACITY")</x:f>
        <x:v>WITHIN CAPACITY</x:v>
      </x:c>
    </x:row>
    <x:row r="50" ht="25" customHeight="1">
      <x:c r="A50" s="11" t="n">
        <x:f>Demand!A87</x:f>
        <x:v>46692</x:v>
      </x:c>
      <x:c r="B50" s="9" t="str">
        <x:f>Inputs!A10</x:f>
        <x:v>DEMO-04</x:v>
      </x:c>
      <x:c r="C50" s="9" t="str">
        <x:f>Inputs!C10</x:f>
        <x:v>Line B</x:v>
      </x:c>
      <x:c r="D50" s="9" t="n">
        <x:f>SUMIFS(MPS!$J$7:$J$102,MPS!$A$7:$A$102,A50,MPS!$C$7:$C$102,B50)</x:f>
        <x:v>31590</x:v>
      </x:c>
      <x:c r="E50" s="9" t="n">
        <x:f>Inputs!D10</x:f>
        <x:v>450</x:v>
      </x:c>
      <x:c r="F50" s="15" t="n">
        <x:f>D50/E50</x:f>
        <x:v>70.2</x:v>
      </x:c>
      <x:c r="G50" s="15" t="n">
        <x:f>SUMIFS($F$7:$F$54,$A$7:$A$54,A50,$C$7:$C$54,C50)</x:f>
        <x:v>114.17538461538462</x:v>
      </x:c>
      <x:c r="H50" s="15" t="n">
        <x:f>SUMIF(Inputs!$L$7:$L$8,C50,Inputs!$M$7:$M$8)</x:f>
        <x:v>125</x:v>
      </x:c>
      <x:c r="I50" s="16" t="n">
        <x:f>G50/H50</x:f>
        <x:v>0.9134030769230769</x:v>
      </x:c>
      <x:c r="J50" s="9" t="str">
        <x:f>IF(I50&gt;1,"OVER CAPACITY","WITHIN CAPACITY")</x:f>
        <x:v>WITHIN CAPACITY</x:v>
      </x:c>
    </x:row>
    <x:row r="51" ht="25" customHeight="1">
      <x:c r="A51" s="11" t="n">
        <x:f>Demand!A95</x:f>
        <x:v>46722</x:v>
      </x:c>
      <x:c r="B51" s="9" t="str">
        <x:f>Inputs!A7</x:f>
        <x:v>DEMO-01</x:v>
      </x:c>
      <x:c r="C51" s="9" t="str">
        <x:f>Inputs!C7</x:f>
        <x:v>Line A</x:v>
      </x:c>
      <x:c r="D51" s="9" t="n">
        <x:f>SUMIFS(MPS!$J$7:$J$102,MPS!$A$7:$A$102,A51,MPS!$C$7:$C$102,B51)</x:f>
        <x:v>21985</x:v>
      </x:c>
      <x:c r="E51" s="9" t="n">
        <x:f>Inputs!D7</x:f>
        <x:v>500</x:v>
      </x:c>
      <x:c r="F51" s="15" t="n">
        <x:f>D51/E51</x:f>
        <x:v>43.97</x:v>
      </x:c>
      <x:c r="G51" s="15" t="n">
        <x:f>SUMIFS($F$7:$F$54,$A$7:$A$54,A51,$C$7:$C$54,C51)</x:f>
        <x:v>108.095</x:v>
      </x:c>
      <x:c r="H51" s="15" t="n">
        <x:f>SUMIF(Inputs!$L$7:$L$8,C51,Inputs!$M$7:$M$8)</x:f>
        <x:v>110</x:v>
      </x:c>
      <x:c r="I51" s="16" t="n">
        <x:f>G51/H51</x:f>
        <x:v>0.9826818181818182</x:v>
      </x:c>
      <x:c r="J51" s="9" t="str">
        <x:f>IF(I51&gt;1,"OVER CAPACITY","WITHIN CAPACITY")</x:f>
        <x:v>WITHIN CAPACITY</x:v>
      </x:c>
    </x:row>
    <x:row r="52" ht="25" customHeight="1">
      <x:c r="A52" s="11" t="n">
        <x:f>Demand!A95</x:f>
        <x:v>46722</x:v>
      </x:c>
      <x:c r="B52" s="9" t="str">
        <x:f>Inputs!A8</x:f>
        <x:v>DEMO-02</x:v>
      </x:c>
      <x:c r="C52" s="9" t="str">
        <x:f>Inputs!C8</x:f>
        <x:v>Line A</x:v>
      </x:c>
      <x:c r="D52" s="9" t="n">
        <x:f>SUMIFS(MPS!$J$7:$J$102,MPS!$A$7:$A$102,A52,MPS!$C$7:$C$102,B52)</x:f>
        <x:v>25650</x:v>
      </x:c>
      <x:c r="E52" s="9" t="n">
        <x:f>Inputs!D8</x:f>
        <x:v>400</x:v>
      </x:c>
      <x:c r="F52" s="15" t="n">
        <x:f>D52/E52</x:f>
        <x:v>64.125</x:v>
      </x:c>
      <x:c r="G52" s="15" t="n">
        <x:f>SUMIFS($F$7:$F$54,$A$7:$A$54,A52,$C$7:$C$54,C52)</x:f>
        <x:v>108.095</x:v>
      </x:c>
      <x:c r="H52" s="15" t="n">
        <x:f>SUMIF(Inputs!$L$7:$L$8,C52,Inputs!$M$7:$M$8)</x:f>
        <x:v>110</x:v>
      </x:c>
      <x:c r="I52" s="16" t="n">
        <x:f>G52/H52</x:f>
        <x:v>0.9826818181818182</x:v>
      </x:c>
      <x:c r="J52" s="9" t="str">
        <x:f>IF(I52&gt;1,"OVER CAPACITY","WITHIN CAPACITY")</x:f>
        <x:v>WITHIN CAPACITY</x:v>
      </x:c>
    </x:row>
    <x:row r="53" ht="25" customHeight="1">
      <x:c r="A53" s="11" t="n">
        <x:f>Demand!A95</x:f>
        <x:v>46722</x:v>
      </x:c>
      <x:c r="B53" s="9" t="str">
        <x:f>Inputs!A9</x:f>
        <x:v>DEMO-03</x:v>
      </x:c>
      <x:c r="C53" s="9" t="str">
        <x:f>Inputs!C9</x:f>
        <x:v>Line B</x:v>
      </x:c>
      <x:c r="D53" s="9" t="n">
        <x:f>SUMIFS(MPS!$J$7:$J$102,MPS!$A$7:$A$102,A53,MPS!$C$7:$C$102,B53)</x:f>
        <x:v>29313</x:v>
      </x:c>
      <x:c r="E53" s="9" t="n">
        <x:f>Inputs!D9</x:f>
        <x:v>650</x:v>
      </x:c>
      <x:c r="F53" s="15" t="n">
        <x:f>D53/E53</x:f>
        <x:v>45.096923076923076</x:v>
      </x:c>
      <x:c r="G53" s="15" t="n">
        <x:f>SUMIFS($F$7:$F$54,$A$7:$A$54,A53,$C$7:$C$54,C53)</x:f>
        <x:v>117.1191452991453</x:v>
      </x:c>
      <x:c r="H53" s="15" t="n">
        <x:f>SUMIF(Inputs!$L$7:$L$8,C53,Inputs!$M$7:$M$8)</x:f>
        <x:v>125</x:v>
      </x:c>
      <x:c r="I53" s="16" t="n">
        <x:f>G53/H53</x:f>
        <x:v>0.9369531623931624</x:v>
      </x:c>
      <x:c r="J53" s="9" t="str">
        <x:f>IF(I53&gt;1,"OVER CAPACITY","WITHIN CAPACITY")</x:f>
        <x:v>WITHIN CAPACITY</x:v>
      </x:c>
    </x:row>
    <x:row r="54" ht="25" customHeight="1">
      <x:c r="A54" s="11" t="n">
        <x:f>Demand!A95</x:f>
        <x:v>46722</x:v>
      </x:c>
      <x:c r="B54" s="9" t="str">
        <x:f>Inputs!A10</x:f>
        <x:v>DEMO-04</x:v>
      </x:c>
      <x:c r="C54" s="9" t="str">
        <x:f>Inputs!C10</x:f>
        <x:v>Line B</x:v>
      </x:c>
      <x:c r="D54" s="9" t="n">
        <x:f>SUMIFS(MPS!$J$7:$J$102,MPS!$A$7:$A$102,A54,MPS!$C$7:$C$102,B54)</x:f>
        <x:v>32410</x:v>
      </x:c>
      <x:c r="E54" s="9" t="n">
        <x:f>Inputs!D10</x:f>
        <x:v>450</x:v>
      </x:c>
      <x:c r="F54" s="15" t="n">
        <x:f>D54/E54</x:f>
        <x:v>72.02222222222223</x:v>
      </x:c>
      <x:c r="G54" s="15" t="n">
        <x:f>SUMIFS($F$7:$F$54,$A$7:$A$54,A54,$C$7:$C$54,C54)</x:f>
        <x:v>117.1191452991453</x:v>
      </x:c>
      <x:c r="H54" s="15" t="n">
        <x:f>SUMIF(Inputs!$L$7:$L$8,C54,Inputs!$M$7:$M$8)</x:f>
        <x:v>125</x:v>
      </x:c>
      <x:c r="I54" s="16" t="n">
        <x:f>G54/H54</x:f>
        <x:v>0.9369531623931624</x:v>
      </x:c>
      <x:c r="J54" s="9" t="str">
        <x:f>IF(I54&gt;1,"OVER CAPACITY","WITHIN CAPACITY")</x:f>
        <x:v>WITHIN CAPACITY</x:v>
      </x:c>
    </x:row>
    <x:row r="55" ht="25" customHeight="1">
      <x:c r="A55" s="9"/>
      <x:c r="B55" s="9"/>
      <x:c r="C55" s="9"/>
      <x:c r="D55" s="9"/>
      <x:c r="E55" s="9"/>
      <x:c r="F55" s="9"/>
      <x:c r="G55" s="9"/>
      <x:c r="H55" s="9"/>
      <x:c r="I55" s="9"/>
      <x:c r="J55" s="9"/>
    </x:row>
    <x:row r="56" ht="25" customHeight="1">
      <x:c r="A56" s="9"/>
      <x:c r="B56" s="9"/>
      <x:c r="C56" s="9"/>
      <x:c r="D56" s="9"/>
      <x:c r="E56" s="9"/>
      <x:c r="F56" s="9"/>
      <x:c r="G56" s="9"/>
      <x:c r="H56" s="9"/>
      <x:c r="I56" s="9"/>
      <x:c r="J56" s="9"/>
    </x:row>
    <x:row r="57" ht="25" customHeight="1">
      <x:c r="A57" s="9"/>
      <x:c r="B57" s="9"/>
      <x:c r="C57" s="9"/>
      <x:c r="D57" s="9"/>
      <x:c r="E57" s="9"/>
      <x:c r="F57" s="9"/>
      <x:c r="G57" s="9"/>
      <x:c r="H57" s="9"/>
      <x:c r="I57" s="9"/>
      <x:c r="J57" s="9"/>
    </x:row>
    <x:row r="58" ht="25" customHeight="1">
      <x:c r="A58" s="9"/>
      <x:c r="B58" s="9"/>
      <x:c r="C58" s="9"/>
      <x:c r="D58" s="9"/>
      <x:c r="E58" s="9"/>
      <x:c r="F58" s="9"/>
      <x:c r="G58" s="9"/>
      <x:c r="H58" s="9"/>
      <x:c r="I58" s="9"/>
      <x:c r="J58" s="9"/>
    </x:row>
    <x:row r="59" ht="25" customHeight="1">
      <x:c r="A59" s="9"/>
      <x:c r="B59" s="9"/>
      <x:c r="C59" s="9"/>
      <x:c r="D59" s="9"/>
      <x:c r="E59" s="9"/>
      <x:c r="F59" s="9"/>
      <x:c r="G59" s="9"/>
      <x:c r="H59" s="9"/>
      <x:c r="I59" s="9"/>
      <x:c r="J59" s="9"/>
    </x:row>
    <x:row r="60" ht="25" customHeight="1">
      <x:c r="A60" s="9"/>
      <x:c r="B60" s="9"/>
      <x:c r="C60" s="9"/>
      <x:c r="D60" s="9"/>
      <x:c r="E60" s="9"/>
      <x:c r="F60" s="9"/>
      <x:c r="G60" s="9"/>
      <x:c r="H60" s="9"/>
      <x:c r="I60" s="9"/>
      <x:c r="J60" s="9"/>
    </x:row>
    <x:row r="61" ht="25" customHeight="1">
      <x:c r="A61" s="9"/>
      <x:c r="B61" s="9"/>
      <x:c r="C61" s="9"/>
      <x:c r="D61" s="9"/>
      <x:c r="E61" s="9"/>
      <x:c r="F61" s="9"/>
      <x:c r="G61" s="9"/>
      <x:c r="H61" s="9"/>
      <x:c r="I61" s="9"/>
      <x:c r="J61" s="9"/>
    </x:row>
    <x:row r="62" ht="25" customHeight="1">
      <x:c r="A62" s="9"/>
      <x:c r="B62" s="9"/>
      <x:c r="C62" s="9"/>
      <x:c r="D62" s="9"/>
      <x:c r="E62" s="9"/>
      <x:c r="F62" s="9"/>
      <x:c r="G62" s="9"/>
      <x:c r="H62" s="9"/>
      <x:c r="I62" s="9"/>
      <x:c r="J62" s="9"/>
    </x:row>
    <x:row r="63" ht="25" customHeight="1">
      <x:c r="A63" s="9"/>
      <x:c r="B63" s="9"/>
      <x:c r="C63" s="9"/>
      <x:c r="D63" s="9"/>
      <x:c r="E63" s="9"/>
      <x:c r="F63" s="9"/>
      <x:c r="G63" s="9"/>
      <x:c r="H63" s="9"/>
      <x:c r="I63" s="9"/>
      <x:c r="J63" s="9"/>
    </x:row>
    <x:row r="64" ht="25" customHeight="1">
      <x:c r="A64" s="9"/>
      <x:c r="B64" s="9"/>
      <x:c r="C64" s="9"/>
      <x:c r="D64" s="9"/>
      <x:c r="E64" s="9"/>
      <x:c r="F64" s="9"/>
      <x:c r="G64" s="9"/>
      <x:c r="H64" s="9"/>
      <x:c r="I64" s="9"/>
      <x:c r="J64" s="9"/>
    </x:row>
    <x:row r="65" ht="25" customHeight="1">
      <x:c r="A65" s="9"/>
      <x:c r="B65" s="9"/>
      <x:c r="C65" s="9"/>
      <x:c r="D65" s="9"/>
      <x:c r="E65" s="9"/>
      <x:c r="F65" s="9"/>
      <x:c r="G65" s="9"/>
      <x:c r="H65" s="9"/>
      <x:c r="I65" s="9"/>
      <x:c r="J65" s="9"/>
    </x:row>
    <x:row r="66" ht="25" customHeight="1">
      <x:c r="A66" s="9"/>
      <x:c r="B66" s="9"/>
      <x:c r="C66" s="9"/>
      <x:c r="D66" s="9"/>
      <x:c r="E66" s="9"/>
      <x:c r="F66" s="9"/>
      <x:c r="G66" s="9"/>
      <x:c r="H66" s="9"/>
      <x:c r="I66" s="9"/>
      <x:c r="J66" s="9"/>
    </x:row>
    <x:row r="67" ht="25" customHeight="1">
      <x:c r="A67" s="9"/>
      <x:c r="B67" s="9"/>
      <x:c r="C67" s="9"/>
      <x:c r="D67" s="9"/>
      <x:c r="E67" s="9"/>
      <x:c r="F67" s="9"/>
      <x:c r="G67" s="9"/>
      <x:c r="H67" s="9"/>
      <x:c r="I67" s="9"/>
      <x:c r="J67" s="9"/>
    </x:row>
    <x:row r="68" ht="25" customHeight="1">
      <x:c r="A68" s="9"/>
      <x:c r="B68" s="9"/>
      <x:c r="C68" s="9"/>
      <x:c r="D68" s="9"/>
      <x:c r="E68" s="9"/>
      <x:c r="F68" s="9"/>
      <x:c r="G68" s="9"/>
      <x:c r="H68" s="9"/>
      <x:c r="I68" s="9"/>
      <x:c r="J68" s="9"/>
    </x:row>
    <x:row r="69" ht="25" customHeight="1">
      <x:c r="A69" s="9"/>
      <x:c r="B69" s="9"/>
      <x:c r="C69" s="9"/>
      <x:c r="D69" s="9"/>
      <x:c r="E69" s="9"/>
      <x:c r="F69" s="9"/>
      <x:c r="G69" s="9"/>
      <x:c r="H69" s="9"/>
      <x:c r="I69" s="9"/>
      <x:c r="J69" s="9"/>
    </x:row>
    <x:row r="70" ht="25" customHeight="1">
      <x:c r="A70" s="9"/>
      <x:c r="B70" s="9"/>
      <x:c r="C70" s="9"/>
      <x:c r="D70" s="9"/>
      <x:c r="E70" s="9"/>
      <x:c r="F70" s="9"/>
      <x:c r="G70" s="9"/>
      <x:c r="H70" s="9"/>
      <x:c r="I70" s="9"/>
      <x:c r="J70" s="9"/>
    </x:row>
    <x:row r="71" ht="25" customHeight="1">
      <x:c r="A71" s="9"/>
      <x:c r="B71" s="9"/>
      <x:c r="C71" s="9"/>
      <x:c r="D71" s="9"/>
      <x:c r="E71" s="9"/>
      <x:c r="F71" s="9"/>
      <x:c r="G71" s="9"/>
      <x:c r="H71" s="9"/>
      <x:c r="I71" s="9"/>
      <x:c r="J71" s="9"/>
    </x:row>
    <x:row r="72" ht="25" customHeight="1">
      <x:c r="A72" s="9"/>
      <x:c r="B72" s="9"/>
      <x:c r="C72" s="9"/>
      <x:c r="D72" s="9"/>
      <x:c r="E72" s="9"/>
      <x:c r="F72" s="9"/>
      <x:c r="G72" s="9"/>
      <x:c r="H72" s="9"/>
      <x:c r="I72" s="9"/>
      <x:c r="J72" s="9"/>
    </x:row>
    <x:row r="73" ht="25" customHeight="1">
      <x:c r="A73" s="9"/>
      <x:c r="B73" s="9"/>
      <x:c r="C73" s="9"/>
      <x:c r="D73" s="9"/>
      <x:c r="E73" s="9"/>
      <x:c r="F73" s="9"/>
      <x:c r="G73" s="9"/>
      <x:c r="H73" s="9"/>
      <x:c r="I73" s="9"/>
      <x:c r="J73" s="9"/>
    </x:row>
    <x:row r="74" ht="25" customHeight="1">
      <x:c r="A74" s="9"/>
      <x:c r="B74" s="9"/>
      <x:c r="C74" s="9"/>
      <x:c r="D74" s="9"/>
      <x:c r="E74" s="9"/>
      <x:c r="F74" s="9"/>
      <x:c r="G74" s="9"/>
      <x:c r="H74" s="9"/>
      <x:c r="I74" s="9"/>
      <x:c r="J74" s="9"/>
    </x:row>
    <x:row r="75" ht="25" customHeight="1">
      <x:c r="A75" s="9"/>
      <x:c r="B75" s="9"/>
      <x:c r="C75" s="9"/>
      <x:c r="D75" s="9"/>
      <x:c r="E75" s="9"/>
      <x:c r="F75" s="9"/>
      <x:c r="G75" s="9"/>
      <x:c r="H75" s="9"/>
      <x:c r="I75" s="9"/>
      <x:c r="J75" s="9"/>
    </x:row>
    <x:row r="76" ht="25" customHeight="1">
      <x:c r="A76" s="9"/>
      <x:c r="B76" s="9"/>
      <x:c r="C76" s="9"/>
      <x:c r="D76" s="9"/>
      <x:c r="E76" s="9"/>
      <x:c r="F76" s="9"/>
      <x:c r="G76" s="9"/>
      <x:c r="H76" s="9"/>
      <x:c r="I76" s="9"/>
      <x:c r="J76" s="9"/>
    </x:row>
    <x:row r="77" ht="25" customHeight="1">
      <x:c r="A77" s="9"/>
      <x:c r="B77" s="9"/>
      <x:c r="C77" s="9"/>
      <x:c r="D77" s="9"/>
      <x:c r="E77" s="9"/>
      <x:c r="F77" s="9"/>
      <x:c r="G77" s="9"/>
      <x:c r="H77" s="9"/>
      <x:c r="I77" s="9"/>
      <x:c r="J77" s="9"/>
    </x:row>
    <x:row r="78" ht="25" customHeight="1">
      <x:c r="A78" s="9"/>
      <x:c r="B78" s="9"/>
      <x:c r="C78" s="9"/>
      <x:c r="D78" s="9"/>
      <x:c r="E78" s="9"/>
      <x:c r="F78" s="9"/>
      <x:c r="G78" s="9"/>
      <x:c r="H78" s="9"/>
      <x:c r="I78" s="9"/>
      <x:c r="J78" s="9"/>
    </x:row>
    <x:row r="79" ht="25" customHeight="1">
      <x:c r="A79" s="9"/>
      <x:c r="B79" s="9"/>
      <x:c r="C79" s="9"/>
      <x:c r="D79" s="9"/>
      <x:c r="E79" s="9"/>
      <x:c r="F79" s="9"/>
      <x:c r="G79" s="9"/>
      <x:c r="H79" s="9"/>
      <x:c r="I79" s="9"/>
      <x:c r="J79" s="9"/>
    </x:row>
    <x:row r="80" ht="25" customHeight="1">
      <x:c r="A80" s="9"/>
      <x:c r="B80" s="9"/>
      <x:c r="C80" s="9"/>
      <x:c r="D80" s="9"/>
      <x:c r="E80" s="9"/>
      <x:c r="F80" s="9"/>
      <x:c r="G80" s="9"/>
      <x:c r="H80" s="9"/>
      <x:c r="I80" s="9"/>
      <x:c r="J80" s="9"/>
    </x:row>
    <x:row r="81" ht="25" customHeight="1">
      <x:c r="A81" s="9"/>
      <x:c r="B81" s="9"/>
      <x:c r="C81" s="9"/>
      <x:c r="D81" s="9"/>
      <x:c r="E81" s="9"/>
      <x:c r="F81" s="9"/>
      <x:c r="G81" s="9"/>
      <x:c r="H81" s="9"/>
      <x:c r="I81" s="9"/>
      <x:c r="J81" s="9"/>
    </x:row>
    <x:row r="82" ht="25" customHeight="1">
      <x:c r="A82" s="9"/>
      <x:c r="B82" s="9"/>
      <x:c r="C82" s="9"/>
      <x:c r="D82" s="9"/>
      <x:c r="E82" s="9"/>
      <x:c r="F82" s="9"/>
      <x:c r="G82" s="9"/>
      <x:c r="H82" s="9"/>
      <x:c r="I82" s="9"/>
      <x:c r="J82" s="9"/>
    </x:row>
    <x:row r="83" ht="25" customHeight="1">
      <x:c r="A83" s="9"/>
      <x:c r="B83" s="9"/>
      <x:c r="C83" s="9"/>
      <x:c r="D83" s="9"/>
      <x:c r="E83" s="9"/>
      <x:c r="F83" s="9"/>
      <x:c r="G83" s="9"/>
      <x:c r="H83" s="9"/>
      <x:c r="I83" s="9"/>
      <x:c r="J83" s="9"/>
    </x:row>
    <x:row r="84" ht="25" customHeight="1">
      <x:c r="A84" s="9"/>
      <x:c r="B84" s="9"/>
      <x:c r="C84" s="9"/>
      <x:c r="D84" s="9"/>
      <x:c r="E84" s="9"/>
      <x:c r="F84" s="9"/>
      <x:c r="G84" s="9"/>
      <x:c r="H84" s="9"/>
      <x:c r="I84" s="9"/>
      <x:c r="J84" s="9"/>
    </x:row>
    <x:row r="85" ht="25" customHeight="1">
      <x:c r="A85" s="9"/>
      <x:c r="B85" s="9"/>
      <x:c r="C85" s="9"/>
      <x:c r="D85" s="9"/>
      <x:c r="E85" s="9"/>
      <x:c r="F85" s="9"/>
      <x:c r="G85" s="9"/>
      <x:c r="H85" s="9"/>
      <x:c r="I85" s="9"/>
      <x:c r="J85" s="9"/>
    </x:row>
    <x:row r="86" ht="25" customHeight="1">
      <x:c r="A86" s="9"/>
      <x:c r="B86" s="9"/>
      <x:c r="C86" s="9"/>
      <x:c r="D86" s="9"/>
      <x:c r="E86" s="9"/>
      <x:c r="F86" s="9"/>
      <x:c r="G86" s="9"/>
      <x:c r="H86" s="9"/>
      <x:c r="I86" s="9"/>
      <x:c r="J86" s="9"/>
    </x:row>
    <x:row r="87" ht="25" customHeight="1">
      <x:c r="A87" s="9"/>
      <x:c r="B87" s="9"/>
      <x:c r="C87" s="9"/>
      <x:c r="D87" s="9"/>
      <x:c r="E87" s="9"/>
      <x:c r="F87" s="9"/>
      <x:c r="G87" s="9"/>
      <x:c r="H87" s="9"/>
      <x:c r="I87" s="9"/>
      <x:c r="J87" s="9"/>
    </x:row>
    <x:row r="88" ht="25" customHeight="1">
      <x:c r="A88" s="9"/>
      <x:c r="B88" s="9"/>
      <x:c r="C88" s="9"/>
      <x:c r="D88" s="9"/>
      <x:c r="E88" s="9"/>
      <x:c r="F88" s="9"/>
      <x:c r="G88" s="9"/>
      <x:c r="H88" s="9"/>
      <x:c r="I88" s="9"/>
      <x:c r="J88" s="9"/>
    </x:row>
    <x:row r="89" ht="25" customHeight="1">
      <x:c r="A89" s="9"/>
      <x:c r="B89" s="9"/>
      <x:c r="C89" s="9"/>
      <x:c r="D89" s="9"/>
      <x:c r="E89" s="9"/>
      <x:c r="F89" s="9"/>
      <x:c r="G89" s="9"/>
      <x:c r="H89" s="9"/>
      <x:c r="I89" s="9"/>
      <x:c r="J89" s="9"/>
    </x:row>
    <x:row r="90" ht="25" customHeight="1">
      <x:c r="A90" s="9"/>
      <x:c r="B90" s="9"/>
      <x:c r="C90" s="9"/>
      <x:c r="D90" s="9"/>
      <x:c r="E90" s="9"/>
      <x:c r="F90" s="9"/>
      <x:c r="G90" s="9"/>
      <x:c r="H90" s="9"/>
      <x:c r="I90" s="9"/>
      <x:c r="J90" s="9"/>
    </x:row>
    <x:row r="91" ht="25" customHeight="1">
      <x:c r="A91" s="9"/>
      <x:c r="B91" s="9"/>
      <x:c r="C91" s="9"/>
      <x:c r="D91" s="9"/>
      <x:c r="E91" s="9"/>
      <x:c r="F91" s="9"/>
      <x:c r="G91" s="9"/>
      <x:c r="H91" s="9"/>
      <x:c r="I91" s="9"/>
      <x:c r="J91" s="9"/>
    </x:row>
    <x:row r="92" ht="25" customHeight="1">
      <x:c r="A92" s="9"/>
      <x:c r="B92" s="9"/>
      <x:c r="C92" s="9"/>
      <x:c r="D92" s="9"/>
      <x:c r="E92" s="9"/>
      <x:c r="F92" s="9"/>
      <x:c r="G92" s="9"/>
      <x:c r="H92" s="9"/>
      <x:c r="I92" s="9"/>
      <x:c r="J92" s="9"/>
    </x:row>
    <x:row r="93" ht="25" customHeight="1">
      <x:c r="A93" s="9"/>
      <x:c r="B93" s="9"/>
      <x:c r="C93" s="9"/>
      <x:c r="D93" s="9"/>
      <x:c r="E93" s="9"/>
      <x:c r="F93" s="9"/>
      <x:c r="G93" s="9"/>
      <x:c r="H93" s="9"/>
      <x:c r="I93" s="9"/>
      <x:c r="J93" s="9"/>
    </x:row>
    <x:row r="94" ht="25" customHeight="1">
      <x:c r="A94" s="9"/>
      <x:c r="B94" s="9"/>
      <x:c r="C94" s="9"/>
      <x:c r="D94" s="9"/>
      <x:c r="E94" s="9"/>
      <x:c r="F94" s="9"/>
      <x:c r="G94" s="9"/>
      <x:c r="H94" s="9"/>
      <x:c r="I94" s="9"/>
      <x:c r="J94" s="9"/>
    </x:row>
    <x:row r="95" ht="25" customHeight="1">
      <x:c r="A95" s="9"/>
      <x:c r="B95" s="9"/>
      <x:c r="C95" s="9"/>
      <x:c r="D95" s="9"/>
      <x:c r="E95" s="9"/>
      <x:c r="F95" s="9"/>
      <x:c r="G95" s="9"/>
      <x:c r="H95" s="9"/>
      <x:c r="I95" s="9"/>
      <x:c r="J95" s="9"/>
    </x:row>
    <x:row r="96" ht="25" customHeight="1">
      <x:c r="A96" s="9"/>
      <x:c r="B96" s="9"/>
      <x:c r="C96" s="9"/>
      <x:c r="D96" s="9"/>
      <x:c r="E96" s="9"/>
      <x:c r="F96" s="9"/>
      <x:c r="G96" s="9"/>
      <x:c r="H96" s="9"/>
      <x:c r="I96" s="9"/>
      <x:c r="J96" s="9"/>
    </x:row>
    <x:row r="97" ht="25" customHeight="1">
      <x:c r="A97" s="9"/>
      <x:c r="B97" s="9"/>
      <x:c r="C97" s="9"/>
      <x:c r="D97" s="9"/>
      <x:c r="E97" s="9"/>
      <x:c r="F97" s="9"/>
      <x:c r="G97" s="9"/>
      <x:c r="H97" s="9"/>
      <x:c r="I97" s="9"/>
      <x:c r="J97" s="9"/>
    </x:row>
    <x:row r="98" ht="25" customHeight="1">
      <x:c r="A98" s="9"/>
      <x:c r="B98" s="9"/>
      <x:c r="C98" s="9"/>
      <x:c r="D98" s="9"/>
      <x:c r="E98" s="9"/>
      <x:c r="F98" s="9"/>
      <x:c r="G98" s="9"/>
      <x:c r="H98" s="9"/>
      <x:c r="I98" s="9"/>
      <x:c r="J98" s="9"/>
    </x:row>
    <x:row r="99" ht="25" customHeight="1">
      <x:c r="A99" s="9"/>
      <x:c r="B99" s="9"/>
      <x:c r="C99" s="9"/>
      <x:c r="D99" s="9"/>
      <x:c r="E99" s="9"/>
      <x:c r="F99" s="9"/>
      <x:c r="G99" s="9"/>
      <x:c r="H99" s="9"/>
      <x:c r="I99" s="9"/>
      <x:c r="J99" s="9"/>
    </x:row>
    <x:row r="100" ht="25" customHeight="1">
      <x:c r="A100" s="9"/>
      <x:c r="B100" s="9"/>
      <x:c r="C100" s="9"/>
      <x:c r="D100" s="9"/>
      <x:c r="E100" s="9"/>
      <x:c r="F100" s="9"/>
      <x:c r="G100" s="9"/>
      <x:c r="H100" s="9"/>
      <x:c r="I100" s="9"/>
      <x:c r="J100" s="9"/>
    </x:row>
    <x:row r="101" ht="25" customHeight="1">
      <x:c r="A101" s="9"/>
      <x:c r="B101" s="9"/>
      <x:c r="C101" s="9"/>
      <x:c r="D101" s="9"/>
      <x:c r="E101" s="9"/>
      <x:c r="F101" s="9"/>
      <x:c r="G101" s="9"/>
      <x:c r="H101" s="9"/>
      <x:c r="I101" s="9"/>
      <x:c r="J101" s="9"/>
    </x:row>
    <x:row r="102" ht="25" customHeight="1">
      <x:c r="A102" s="9"/>
      <x:c r="B102" s="9"/>
      <x:c r="C102" s="9"/>
      <x:c r="D102" s="9"/>
      <x:c r="E102" s="9"/>
      <x:c r="F102" s="9"/>
      <x:c r="G102" s="9"/>
      <x:c r="H102" s="9"/>
      <x:c r="I102" s="9"/>
      <x:c r="J102" s="9"/>
    </x:row>
    <x:row r="103" ht="25" customHeight="1">
      <x:c r="A103" s="9"/>
      <x:c r="B103" s="9"/>
      <x:c r="C103" s="9"/>
      <x:c r="D103" s="9"/>
      <x:c r="E103" s="9"/>
      <x:c r="F103" s="9"/>
      <x:c r="G103" s="9"/>
      <x:c r="H103" s="9"/>
      <x:c r="I103" s="9"/>
      <x:c r="J103" s="9"/>
    </x:row>
    <x:row r="104" ht="25" customHeight="1">
      <x:c r="A104" s="9"/>
      <x:c r="B104" s="9"/>
      <x:c r="C104" s="9"/>
      <x:c r="D104" s="9"/>
      <x:c r="E104" s="9"/>
      <x:c r="F104" s="9"/>
      <x:c r="G104" s="9"/>
      <x:c r="H104" s="9"/>
      <x:c r="I104" s="9"/>
      <x:c r="J104" s="9"/>
    </x:row>
    <x:row r="105" ht="25" customHeight="1">
      <x:c r="A105" s="9"/>
      <x:c r="B105" s="9"/>
      <x:c r="C105" s="9"/>
      <x:c r="D105" s="9"/>
      <x:c r="E105" s="9"/>
      <x:c r="F105" s="9"/>
      <x:c r="G105" s="9"/>
      <x:c r="H105" s="9"/>
      <x:c r="I105" s="9"/>
      <x:c r="J105" s="9"/>
    </x:row>
    <x:row r="106" ht="25" customHeight="1">
      <x:c r="A106" s="9"/>
      <x:c r="B106" s="9"/>
      <x:c r="C106" s="9"/>
      <x:c r="D106" s="9"/>
      <x:c r="E106" s="9"/>
      <x:c r="F106" s="9"/>
      <x:c r="G106" s="9"/>
      <x:c r="H106" s="9"/>
      <x:c r="I106" s="9"/>
      <x:c r="J106" s="9"/>
    </x:row>
    <x:row r="107" ht="25" customHeight="1">
      <x:c r="A107" s="9"/>
      <x:c r="B107" s="9"/>
      <x:c r="C107" s="9"/>
      <x:c r="D107" s="9"/>
      <x:c r="E107" s="9"/>
      <x:c r="F107" s="9"/>
      <x:c r="G107" s="9"/>
      <x:c r="H107" s="9"/>
      <x:c r="I107" s="9"/>
      <x:c r="J107" s="9"/>
    </x:row>
    <x:row r="108" ht="25" customHeight="1">
      <x:c r="A108" s="9"/>
      <x:c r="B108" s="9"/>
      <x:c r="C108" s="9"/>
      <x:c r="D108" s="9"/>
      <x:c r="E108" s="9"/>
      <x:c r="F108" s="9"/>
      <x:c r="G108" s="9"/>
      <x:c r="H108" s="9"/>
      <x:c r="I108" s="9"/>
      <x:c r="J108" s="9"/>
    </x:row>
    <x:row r="109" ht="25" customHeight="1">
      <x:c r="A109" s="9"/>
      <x:c r="B109" s="9"/>
      <x:c r="C109" s="9"/>
      <x:c r="D109" s="9"/>
      <x:c r="E109" s="9"/>
      <x:c r="F109" s="9"/>
      <x:c r="G109" s="9"/>
      <x:c r="H109" s="9"/>
      <x:c r="I109" s="9"/>
      <x:c r="J109" s="9"/>
    </x:row>
    <x:row r="110" ht="25" customHeight="1">
      <x:c r="A110" s="9"/>
      <x:c r="B110" s="9"/>
      <x:c r="C110" s="9"/>
      <x:c r="D110" s="9"/>
      <x:c r="E110" s="9"/>
      <x:c r="F110" s="9"/>
      <x:c r="G110" s="9"/>
      <x:c r="H110" s="9"/>
      <x:c r="I110" s="9"/>
      <x:c r="J110" s="9"/>
    </x:row>
    <x:row r="111" ht="25" customHeight="1">
      <x:c r="A111" s="9"/>
      <x:c r="B111" s="9"/>
      <x:c r="C111" s="9"/>
      <x:c r="D111" s="9"/>
      <x:c r="E111" s="9"/>
      <x:c r="F111" s="9"/>
      <x:c r="G111" s="9"/>
      <x:c r="H111" s="9"/>
      <x:c r="I111" s="9"/>
      <x:c r="J111" s="9"/>
    </x:row>
    <x:row r="112" ht="25" customHeight="1">
      <x:c r="A112" s="9"/>
      <x:c r="B112" s="9"/>
      <x:c r="C112" s="9"/>
      <x:c r="D112" s="9"/>
      <x:c r="E112" s="9"/>
      <x:c r="F112" s="9"/>
      <x:c r="G112" s="9"/>
      <x:c r="H112" s="9"/>
      <x:c r="I112" s="9"/>
      <x:c r="J112" s="9"/>
    </x:row>
    <x:row r="113" ht="25" customHeight="1">
      <x:c r="A113" s="9"/>
      <x:c r="B113" s="9"/>
      <x:c r="C113" s="9"/>
      <x:c r="D113" s="9"/>
      <x:c r="E113" s="9"/>
      <x:c r="F113" s="9"/>
      <x:c r="G113" s="9"/>
      <x:c r="H113" s="9"/>
      <x:c r="I113" s="9"/>
      <x:c r="J113" s="9"/>
    </x:row>
    <x:row r="114" ht="25" customHeight="1">
      <x:c r="A114" s="9"/>
      <x:c r="B114" s="9"/>
      <x:c r="C114" s="9"/>
      <x:c r="D114" s="9"/>
      <x:c r="E114" s="9"/>
      <x:c r="F114" s="9"/>
      <x:c r="G114" s="9"/>
      <x:c r="H114" s="9"/>
      <x:c r="I114" s="9"/>
      <x:c r="J114" s="9"/>
    </x:row>
    <x:row r="115" ht="25" customHeight="1">
      <x:c r="A115" s="9"/>
      <x:c r="B115" s="9"/>
      <x:c r="C115" s="9"/>
      <x:c r="D115" s="9"/>
      <x:c r="E115" s="9"/>
      <x:c r="F115" s="9"/>
      <x:c r="G115" s="9"/>
      <x:c r="H115" s="9"/>
      <x:c r="I115" s="9"/>
      <x:c r="J115" s="9"/>
    </x:row>
    <x:row r="116" ht="25" customHeight="1">
      <x:c r="A116" s="9"/>
      <x:c r="B116" s="9"/>
      <x:c r="C116" s="9"/>
      <x:c r="D116" s="9"/>
      <x:c r="E116" s="9"/>
      <x:c r="F116" s="9"/>
      <x:c r="G116" s="9"/>
      <x:c r="H116" s="9"/>
      <x:c r="I116" s="9"/>
      <x:c r="J116" s="9"/>
    </x:row>
    <x:row r="117" ht="25" customHeight="1">
      <x:c r="A117" s="9"/>
      <x:c r="B117" s="9"/>
      <x:c r="C117" s="9"/>
      <x:c r="D117" s="9"/>
      <x:c r="E117" s="9"/>
      <x:c r="F117" s="9"/>
      <x:c r="G117" s="9"/>
      <x:c r="H117" s="9"/>
      <x:c r="I117" s="9"/>
      <x:c r="J117" s="9"/>
    </x:row>
    <x:row r="118" ht="25" customHeight="1">
      <x:c r="A118" s="9"/>
      <x:c r="B118" s="9"/>
      <x:c r="C118" s="9"/>
      <x:c r="D118" s="9"/>
      <x:c r="E118" s="9"/>
      <x:c r="F118" s="9"/>
      <x:c r="G118" s="9"/>
      <x:c r="H118" s="9"/>
      <x:c r="I118" s="9"/>
      <x:c r="J118" s="9"/>
    </x:row>
    <x:row r="119" ht="25" customHeight="1">
      <x:c r="A119" s="9"/>
      <x:c r="B119" s="9"/>
      <x:c r="C119" s="9"/>
      <x:c r="D119" s="9"/>
      <x:c r="E119" s="9"/>
      <x:c r="F119" s="9"/>
      <x:c r="G119" s="9"/>
      <x:c r="H119" s="9"/>
      <x:c r="I119" s="9"/>
      <x:c r="J119" s="9"/>
    </x:row>
    <x:row r="120" ht="25" customHeight="1">
      <x:c r="A120" s="9"/>
      <x:c r="B120" s="9"/>
      <x:c r="C120" s="9"/>
      <x:c r="D120" s="9"/>
      <x:c r="E120" s="9"/>
      <x:c r="F120" s="9"/>
      <x:c r="G120" s="9"/>
      <x:c r="H120" s="9"/>
      <x:c r="I120" s="9"/>
      <x:c r="J120" s="9"/>
    </x:row>
  </x:sheetData>
  <x:mergeCells>
    <x:mergeCell ref="A1:J2"/>
    <x:mergeCell ref="A3:J4"/>
  </x:mergeCells>
  <x:conditionalFormatting sqref="I7:I54">
    <x:cfRule type="cellIs" dxfId="1" priority="1" operator="greaterThan">
      <x:formula>1</x:formula>
    </x:cfRule>
  </x:conditionalFormatting>
  <x:pageMargins left="0.7" right="0.7" top="0.75" bottom="0.75" header="0.3" footer="0.3"/>
</x:worksheet>
</file>

<file path=xl/worksheets/sheet4.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22" hidden="0" customWidth="1"/>
  </x:cols>
  <x:sheetData>
    <x:row r="1" ht="24" customHeight="1">
      <x:c r="A1" s="2" t="str">
        <x:v>Distribution requirements</x:v>
      </x:c>
      <x:c r="B1" s="2"/>
      <x:c r="C1" s="2"/>
      <x:c r="D1" s="2"/>
      <x:c r="E1" s="2"/>
      <x:c r="F1" s="2"/>
      <x:c r="G1" s="2"/>
    </x:row>
    <x:row r="2" ht="24" customHeight="1">
      <x:c r="A2" s="2"/>
      <x:c r="B2" s="2"/>
      <x:c r="C2" s="2"/>
      <x:c r="D2" s="2"/>
      <x:c r="E2" s="2"/>
      <x:c r="F2" s="2"/>
      <x:c r="G2" s="2"/>
    </x:row>
    <x:row r="3" ht="22" customHeight="1">
      <x:c r="A3" s="4" t="str">
        <x:v>New production allocated to each receiving warehouse. Existing inbound is already included separately in the MPS. Fractional pallets express load volume.</x:v>
      </x:c>
      <x:c r="B3" s="4"/>
      <x:c r="C3" s="4"/>
      <x:c r="D3" s="4"/>
      <x:c r="E3" s="4"/>
      <x:c r="F3" s="4"/>
      <x:c r="G3" s="4"/>
    </x:row>
    <x:row r="4" ht="22" customHeight="1">
      <x:c r="A4" s="4"/>
      <x:c r="B4" s="4"/>
      <x:c r="C4" s="4"/>
      <x:c r="D4" s="4"/>
      <x:c r="E4" s="4"/>
      <x:c r="F4" s="4"/>
      <x:c r="G4" s="4"/>
    </x:row>
    <x:row r="6" ht="36" customHeight="1">
      <x:c r="A6" s="7" t="str">
        <x:v>Month</x:v>
      </x:c>
      <x:c r="B6" s="7" t="str">
        <x:v>Warehouse</x:v>
      </x:c>
      <x:c r="C6" s="7" t="str">
        <x:v>SKU</x:v>
      </x:c>
      <x:c r="D6" s="7" t="str">
        <x:v>Cases to ship</x:v>
      </x:c>
      <x:c r="E6" s="7" t="str">
        <x:v>Cases / pallet</x:v>
      </x:c>
      <x:c r="F6" s="7" t="str">
        <x:v>Pallet equivalents</x:v>
      </x:c>
      <x:c r="G6" s="7" t="str">
        <x:v>Stock risk</x:v>
      </x:c>
    </x:row>
    <x:row r="7" ht="25" customHeight="1">
      <x:c r="A7" s="11" t="n">
        <x:f>MPS!A7</x:f>
        <x:v>46388</x:v>
      </x:c>
      <x:c r="B7" s="9" t="str">
        <x:f>MPS!B7</x:f>
        <x:v>WH-1</x:v>
      </x:c>
      <x:c r="C7" s="9" t="str">
        <x:f>MPS!C7</x:f>
        <x:v>DEMO-01</x:v>
      </x:c>
      <x:c r="D7" s="9" t="n">
        <x:f>MPS!J7</x:f>
        <x:v>8150</x:v>
      </x:c>
      <x:c r="E7" s="9" t="n">
        <x:f>Inputs!E7</x:f>
        <x:v>120</x:v>
      </x:c>
      <x:c r="F7" s="15" t="n">
        <x:f>D7/E7</x:f>
        <x:v>67.91666666666667</x:v>
      </x:c>
      <x:c r="G7" s="9" t="str">
        <x:f>MPS!M7</x:f>
        <x:v>ON TARGET</x:v>
      </x:c>
    </x:row>
    <x:row r="8" ht="25" customHeight="1">
      <x:c r="A8" s="11" t="n">
        <x:f>MPS!A8</x:f>
        <x:v>46388</x:v>
      </x:c>
      <x:c r="B8" s="9" t="str">
        <x:f>MPS!B8</x:f>
        <x:v>WH-2</x:v>
      </x:c>
      <x:c r="C8" s="9" t="str">
        <x:f>MPS!C8</x:f>
        <x:v>DEMO-01</x:v>
      </x:c>
      <x:c r="D8" s="9" t="n">
        <x:f>MPS!J8</x:f>
        <x:v>10859</x:v>
      </x:c>
      <x:c r="E8" s="9" t="n">
        <x:f>Inputs!E7</x:f>
        <x:v>120</x:v>
      </x:c>
      <x:c r="F8" s="15" t="n">
        <x:f>D8/E8</x:f>
        <x:v>90.49166666666666</x:v>
      </x:c>
      <x:c r="G8" s="9" t="str">
        <x:f>MPS!M8</x:f>
        <x:v>ON TARGET</x:v>
      </x:c>
    </x:row>
    <x:row r="9" ht="25" customHeight="1">
      <x:c r="A9" s="11" t="n">
        <x:f>MPS!A9</x:f>
        <x:v>46388</x:v>
      </x:c>
      <x:c r="B9" s="9" t="str">
        <x:f>MPS!B9</x:f>
        <x:v>WH-1</x:v>
      </x:c>
      <x:c r="C9" s="9" t="str">
        <x:f>MPS!C9</x:f>
        <x:v>DEMO-02</x:v>
      </x:c>
      <x:c r="D9" s="9" t="n">
        <x:f>MPS!J9</x:f>
        <x:v>9951</x:v>
      </x:c>
      <x:c r="E9" s="9" t="n">
        <x:f>Inputs!E8</x:f>
        <x:v>100</x:v>
      </x:c>
      <x:c r="F9" s="15" t="n">
        <x:f>D9/E9</x:f>
        <x:v>99.51</x:v>
      </x:c>
      <x:c r="G9" s="9" t="str">
        <x:f>MPS!M9</x:f>
        <x:v>ON TARGET</x:v>
      </x:c>
    </x:row>
    <x:row r="10" ht="25" customHeight="1">
      <x:c r="A10" s="11" t="n">
        <x:f>MPS!A10</x:f>
        <x:v>46388</x:v>
      </x:c>
      <x:c r="B10" s="9" t="str">
        <x:f>MPS!B10</x:f>
        <x:v>WH-2</x:v>
      </x:c>
      <x:c r="C10" s="9" t="str">
        <x:f>MPS!C10</x:f>
        <x:v>DEMO-02</x:v>
      </x:c>
      <x:c r="D10" s="9" t="n">
        <x:f>MPS!J10</x:f>
        <x:v>12660</x:v>
      </x:c>
      <x:c r="E10" s="9" t="n">
        <x:f>Inputs!E8</x:f>
        <x:v>100</x:v>
      </x:c>
      <x:c r="F10" s="15" t="n">
        <x:f>D10/E10</x:f>
        <x:v>126.6</x:v>
      </x:c>
      <x:c r="G10" s="9" t="str">
        <x:f>MPS!M10</x:f>
        <x:v>ON TARGET</x:v>
      </x:c>
    </x:row>
    <x:row r="11" ht="25" customHeight="1">
      <x:c r="A11" s="11" t="n">
        <x:f>MPS!A11</x:f>
        <x:v>46388</x:v>
      </x:c>
      <x:c r="B11" s="9" t="str">
        <x:f>MPS!B11</x:f>
        <x:v>WH-1</x:v>
      </x:c>
      <x:c r="C11" s="9" t="str">
        <x:f>MPS!C11</x:f>
        <x:v>DEMO-03</x:v>
      </x:c>
      <x:c r="D11" s="9" t="n">
        <x:f>MPS!J11</x:f>
        <x:v>11752</x:v>
      </x:c>
      <x:c r="E11" s="9" t="n">
        <x:f>Inputs!E9</x:f>
        <x:v>80</x:v>
      </x:c>
      <x:c r="F11" s="15" t="n">
        <x:f>D11/E11</x:f>
        <x:v>146.9</x:v>
      </x:c>
      <x:c r="G11" s="9" t="str">
        <x:f>MPS!M11</x:f>
        <x:v>ON TARGET</x:v>
      </x:c>
    </x:row>
    <x:row r="12" ht="25" customHeight="1">
      <x:c r="A12" s="11" t="n">
        <x:f>MPS!A12</x:f>
        <x:v>46388</x:v>
      </x:c>
      <x:c r="B12" s="9" t="str">
        <x:f>MPS!B12</x:f>
        <x:v>WH-2</x:v>
      </x:c>
      <x:c r="C12" s="9" t="str">
        <x:f>MPS!C12</x:f>
        <x:v>DEMO-03</x:v>
      </x:c>
      <x:c r="D12" s="9" t="n">
        <x:f>MPS!J12</x:f>
        <x:v>14460</x:v>
      </x:c>
      <x:c r="E12" s="9" t="n">
        <x:f>Inputs!E9</x:f>
        <x:v>80</x:v>
      </x:c>
      <x:c r="F12" s="15" t="n">
        <x:f>D12/E12</x:f>
        <x:v>180.75</x:v>
      </x:c>
      <x:c r="G12" s="9" t="str">
        <x:f>MPS!M12</x:f>
        <x:v>ON TARGET</x:v>
      </x:c>
    </x:row>
    <x:row r="13" ht="25" customHeight="1">
      <x:c r="A13" s="11" t="n">
        <x:f>MPS!A13</x:f>
        <x:v>46388</x:v>
      </x:c>
      <x:c r="B13" s="9" t="str">
        <x:f>MPS!B13</x:f>
        <x:v>WH-1</x:v>
      </x:c>
      <x:c r="C13" s="9" t="str">
        <x:f>MPS!C13</x:f>
        <x:v>DEMO-04</x:v>
      </x:c>
      <x:c r="D13" s="9" t="n">
        <x:f>MPS!J13</x:f>
        <x:v>6000</x:v>
      </x:c>
      <x:c r="E13" s="9" t="n">
        <x:f>Inputs!E10</x:f>
        <x:v>90</x:v>
      </x:c>
      <x:c r="F13" s="15" t="n">
        <x:f>D13/E13</x:f>
        <x:v>66.66666666666667</x:v>
      </x:c>
      <x:c r="G13" s="9" t="str">
        <x:f>MPS!M13</x:f>
        <x:v>ON TARGET</x:v>
      </x:c>
    </x:row>
    <x:row r="14" ht="25" customHeight="1">
      <x:c r="A14" s="11" t="n">
        <x:f>MPS!A14</x:f>
        <x:v>46388</x:v>
      </x:c>
      <x:c r="B14" s="9" t="str">
        <x:f>MPS!B14</x:f>
        <x:v>WH-2</x:v>
      </x:c>
      <x:c r="C14" s="9" t="str">
        <x:f>MPS!C14</x:f>
        <x:v>DEMO-04</x:v>
      </x:c>
      <x:c r="D14" s="9" t="n">
        <x:f>MPS!J14</x:f>
        <x:v>7600</x:v>
      </x:c>
      <x:c r="E14" s="9" t="n">
        <x:f>Inputs!E10</x:f>
        <x:v>90</x:v>
      </x:c>
      <x:c r="F14" s="15" t="n">
        <x:f>D14/E14</x:f>
        <x:v>84.44444444444444</x:v>
      </x:c>
      <x:c r="G14" s="9" t="str">
        <x:f>MPS!M14</x:f>
        <x:v>ON TARGET</x:v>
      </x:c>
    </x:row>
    <x:row r="15" ht="25" customHeight="1">
      <x:c r="A15" s="11" t="n">
        <x:f>MPS!A15</x:f>
        <x:v>46419</x:v>
      </x:c>
      <x:c r="B15" s="9" t="str">
        <x:f>MPS!B15</x:f>
        <x:v>WH-1</x:v>
      </x:c>
      <x:c r="C15" s="9" t="str">
        <x:f>MPS!C15</x:f>
        <x:v>DEMO-01</x:v>
      </x:c>
      <x:c r="D15" s="9" t="n">
        <x:f>MPS!J15</x:f>
        <x:v>7415</x:v>
      </x:c>
      <x:c r="E15" s="9" t="n">
        <x:f>Inputs!E7</x:f>
        <x:v>120</x:v>
      </x:c>
      <x:c r="F15" s="15" t="n">
        <x:f>D15/E15</x:f>
        <x:v>61.791666666666664</x:v>
      </x:c>
      <x:c r="G15" s="9" t="str">
        <x:f>MPS!M15</x:f>
        <x:v>ON TARGET</x:v>
      </x:c>
    </x:row>
    <x:row r="16" ht="25" customHeight="1">
      <x:c r="A16" s="11" t="n">
        <x:f>MPS!A16</x:f>
        <x:v>46419</x:v>
      </x:c>
      <x:c r="B16" s="9" t="str">
        <x:f>MPS!B16</x:f>
        <x:v>WH-2</x:v>
      </x:c>
      <x:c r="C16" s="9" t="str">
        <x:f>MPS!C16</x:f>
        <x:v>DEMO-01</x:v>
      </x:c>
      <x:c r="D16" s="9" t="n">
        <x:f>MPS!J16</x:f>
        <x:v>9109</x:v>
      </x:c>
      <x:c r="E16" s="9" t="n">
        <x:f>Inputs!E7</x:f>
        <x:v>120</x:v>
      </x:c>
      <x:c r="F16" s="15" t="n">
        <x:f>D16/E16</x:f>
        <x:v>75.90833333333333</x:v>
      </x:c>
      <x:c r="G16" s="9" t="str">
        <x:f>MPS!M16</x:f>
        <x:v>ON TARGET</x:v>
      </x:c>
    </x:row>
    <x:row r="17" ht="25" customHeight="1">
      <x:c r="A17" s="11" t="n">
        <x:f>MPS!A17</x:f>
        <x:v>46419</x:v>
      </x:c>
      <x:c r="B17" s="9" t="str">
        <x:f>MPS!B17</x:f>
        <x:v>WH-1</x:v>
      </x:c>
      <x:c r="C17" s="9" t="str">
        <x:f>MPS!C17</x:f>
        <x:v>DEMO-02</x:v>
      </x:c>
      <x:c r="D17" s="9" t="n">
        <x:f>MPS!J17</x:f>
        <x:v>8793</x:v>
      </x:c>
      <x:c r="E17" s="9" t="n">
        <x:f>Inputs!E8</x:f>
        <x:v>100</x:v>
      </x:c>
      <x:c r="F17" s="15" t="n">
        <x:f>D17/E17</x:f>
        <x:v>87.93</x:v>
      </x:c>
      <x:c r="G17" s="9" t="str">
        <x:f>MPS!M17</x:f>
        <x:v>ON TARGET</x:v>
      </x:c>
    </x:row>
    <x:row r="18" ht="25" customHeight="1">
      <x:c r="A18" s="11" t="n">
        <x:f>MPS!A18</x:f>
        <x:v>46419</x:v>
      </x:c>
      <x:c r="B18" s="9" t="str">
        <x:f>MPS!B18</x:f>
        <x:v>WH-2</x:v>
      </x:c>
      <x:c r="C18" s="9" t="str">
        <x:f>MPS!C18</x:f>
        <x:v>DEMO-02</x:v>
      </x:c>
      <x:c r="D18" s="9" t="n">
        <x:f>MPS!J18</x:f>
        <x:v>10487</x:v>
      </x:c>
      <x:c r="E18" s="9" t="n">
        <x:f>Inputs!E8</x:f>
        <x:v>100</x:v>
      </x:c>
      <x:c r="F18" s="15" t="n">
        <x:f>D18/E18</x:f>
        <x:v>104.87</x:v>
      </x:c>
      <x:c r="G18" s="9" t="str">
        <x:f>MPS!M18</x:f>
        <x:v>ON TARGET</x:v>
      </x:c>
    </x:row>
    <x:row r="19" ht="25" customHeight="1">
      <x:c r="A19" s="11" t="n">
        <x:f>MPS!A19</x:f>
        <x:v>46419</x:v>
      </x:c>
      <x:c r="B19" s="9" t="str">
        <x:f>MPS!B19</x:f>
        <x:v>WH-1</x:v>
      </x:c>
      <x:c r="C19" s="9" t="str">
        <x:f>MPS!C19</x:f>
        <x:v>DEMO-03</x:v>
      </x:c>
      <x:c r="D19" s="9" t="n">
        <x:f>MPS!J19</x:f>
        <x:v>10169</x:v>
      </x:c>
      <x:c r="E19" s="9" t="n">
        <x:f>Inputs!E9</x:f>
        <x:v>80</x:v>
      </x:c>
      <x:c r="F19" s="15" t="n">
        <x:f>D19/E19</x:f>
        <x:v>127.1125</x:v>
      </x:c>
      <x:c r="G19" s="9" t="str">
        <x:f>MPS!M19</x:f>
        <x:v>ON TARGET</x:v>
      </x:c>
    </x:row>
    <x:row r="20" ht="25" customHeight="1">
      <x:c r="A20" s="11" t="n">
        <x:f>MPS!A20</x:f>
        <x:v>46419</x:v>
      </x:c>
      <x:c r="B20" s="9" t="str">
        <x:f>MPS!B20</x:f>
        <x:v>WH-2</x:v>
      </x:c>
      <x:c r="C20" s="9" t="str">
        <x:f>MPS!C20</x:f>
        <x:v>DEMO-03</x:v>
      </x:c>
      <x:c r="D20" s="9" t="n">
        <x:f>MPS!J20</x:f>
        <x:v>11864</x:v>
      </x:c>
      <x:c r="E20" s="9" t="n">
        <x:f>Inputs!E9</x:f>
        <x:v>80</x:v>
      </x:c>
      <x:c r="F20" s="15" t="n">
        <x:f>D20/E20</x:f>
        <x:v>148.3</x:v>
      </x:c>
      <x:c r="G20" s="9" t="str">
        <x:f>MPS!M20</x:f>
        <x:v>ON TARGET</x:v>
      </x:c>
    </x:row>
    <x:row r="21" ht="25" customHeight="1">
      <x:c r="A21" s="11" t="n">
        <x:f>MPS!A21</x:f>
        <x:v>46419</x:v>
      </x:c>
      <x:c r="B21" s="9" t="str">
        <x:f>MPS!B21</x:f>
        <x:v>WH-1</x:v>
      </x:c>
      <x:c r="C21" s="9" t="str">
        <x:f>MPS!C21</x:f>
        <x:v>DEMO-04</x:v>
      </x:c>
      <x:c r="D21" s="9" t="n">
        <x:f>MPS!J21</x:f>
        <x:v>11282</x:v>
      </x:c>
      <x:c r="E21" s="9" t="n">
        <x:f>Inputs!E10</x:f>
        <x:v>90</x:v>
      </x:c>
      <x:c r="F21" s="15" t="n">
        <x:f>D21/E21</x:f>
        <x:v>125.35555555555555</x:v>
      </x:c>
      <x:c r="G21" s="9" t="str">
        <x:f>MPS!M21</x:f>
        <x:v>ON TARGET</x:v>
      </x:c>
    </x:row>
    <x:row r="22" ht="25" customHeight="1">
      <x:c r="A22" s="11" t="n">
        <x:f>MPS!A22</x:f>
        <x:v>46419</x:v>
      </x:c>
      <x:c r="B22" s="9" t="str">
        <x:f>MPS!B22</x:f>
        <x:v>WH-2</x:v>
      </x:c>
      <x:c r="C22" s="9" t="str">
        <x:f>MPS!C22</x:f>
        <x:v>DEMO-04</x:v>
      </x:c>
      <x:c r="D22" s="9" t="n">
        <x:f>MPS!J22</x:f>
        <x:v>12937</x:v>
      </x:c>
      <x:c r="E22" s="9" t="n">
        <x:f>Inputs!E10</x:f>
        <x:v>90</x:v>
      </x:c>
      <x:c r="F22" s="15" t="n">
        <x:f>D22/E22</x:f>
        <x:v>143.74444444444444</x:v>
      </x:c>
      <x:c r="G22" s="9" t="str">
        <x:f>MPS!M22</x:f>
        <x:v>ON TARGET</x:v>
      </x:c>
    </x:row>
    <x:row r="23" ht="25" customHeight="1">
      <x:c r="A23" s="11" t="n">
        <x:f>MPS!A23</x:f>
        <x:v>46447</x:v>
      </x:c>
      <x:c r="B23" s="9" t="str">
        <x:f>MPS!B23</x:f>
        <x:v>WH-1</x:v>
      </x:c>
      <x:c r="C23" s="9" t="str">
        <x:f>MPS!C23</x:f>
        <x:v>DEMO-01</x:v>
      </x:c>
      <x:c r="D23" s="9" t="n">
        <x:f>MPS!J23</x:f>
        <x:v>7660</x:v>
      </x:c>
      <x:c r="E23" s="9" t="n">
        <x:f>Inputs!E7</x:f>
        <x:v>120</x:v>
      </x:c>
      <x:c r="F23" s="15" t="n">
        <x:f>D23/E23</x:f>
        <x:v>63.833333333333336</x:v>
      </x:c>
      <x:c r="G23" s="9" t="str">
        <x:f>MPS!M23</x:f>
        <x:v>ON TARGET</x:v>
      </x:c>
    </x:row>
    <x:row r="24" ht="25" customHeight="1">
      <x:c r="A24" s="11" t="n">
        <x:f>MPS!A24</x:f>
        <x:v>46447</x:v>
      </x:c>
      <x:c r="B24" s="9" t="str">
        <x:f>MPS!B24</x:f>
        <x:v>WH-2</x:v>
      </x:c>
      <x:c r="C24" s="9" t="str">
        <x:f>MPS!C24</x:f>
        <x:v>DEMO-01</x:v>
      </x:c>
      <x:c r="D24" s="9" t="n">
        <x:f>MPS!J24</x:f>
        <x:v>9411</x:v>
      </x:c>
      <x:c r="E24" s="9" t="n">
        <x:f>Inputs!E7</x:f>
        <x:v>120</x:v>
      </x:c>
      <x:c r="F24" s="15" t="n">
        <x:f>D24/E24</x:f>
        <x:v>78.425</x:v>
      </x:c>
      <x:c r="G24" s="9" t="str">
        <x:f>MPS!M24</x:f>
        <x:v>ON TARGET</x:v>
      </x:c>
    </x:row>
    <x:row r="25" ht="25" customHeight="1">
      <x:c r="A25" s="11" t="n">
        <x:f>MPS!A25</x:f>
        <x:v>46447</x:v>
      </x:c>
      <x:c r="B25" s="9" t="str">
        <x:f>MPS!B25</x:f>
        <x:v>WH-1</x:v>
      </x:c>
      <x:c r="C25" s="9" t="str">
        <x:f>MPS!C25</x:f>
        <x:v>DEMO-02</x:v>
      </x:c>
      <x:c r="D25" s="9" t="n">
        <x:f>MPS!J25</x:f>
        <x:v>9082</x:v>
      </x:c>
      <x:c r="E25" s="9" t="n">
        <x:f>Inputs!E8</x:f>
        <x:v>100</x:v>
      </x:c>
      <x:c r="F25" s="15" t="n">
        <x:f>D25/E25</x:f>
        <x:v>90.82</x:v>
      </x:c>
      <x:c r="G25" s="9" t="str">
        <x:f>MPS!M25</x:f>
        <x:v>ON TARGET</x:v>
      </x:c>
    </x:row>
    <x:row r="26" ht="25" customHeight="1">
      <x:c r="A26" s="11" t="n">
        <x:f>MPS!A26</x:f>
        <x:v>46447</x:v>
      </x:c>
      <x:c r="B26" s="9" t="str">
        <x:f>MPS!B26</x:f>
        <x:v>WH-2</x:v>
      </x:c>
      <x:c r="C26" s="9" t="str">
        <x:f>MPS!C26</x:f>
        <x:v>DEMO-02</x:v>
      </x:c>
      <x:c r="D26" s="9" t="n">
        <x:f>MPS!J26</x:f>
        <x:v>10833</x:v>
      </x:c>
      <x:c r="E26" s="9" t="n">
        <x:f>Inputs!E8</x:f>
        <x:v>100</x:v>
      </x:c>
      <x:c r="F26" s="15" t="n">
        <x:f>D26/E26</x:f>
        <x:v>108.33</x:v>
      </x:c>
      <x:c r="G26" s="9" t="str">
        <x:f>MPS!M26</x:f>
        <x:v>ON TARGET</x:v>
      </x:c>
    </x:row>
    <x:row r="27" ht="25" customHeight="1">
      <x:c r="A27" s="11" t="n">
        <x:f>MPS!A27</x:f>
        <x:v>46447</x:v>
      </x:c>
      <x:c r="B27" s="9" t="str">
        <x:f>MPS!B27</x:f>
        <x:v>WH-1</x:v>
      </x:c>
      <x:c r="C27" s="9" t="str">
        <x:f>MPS!C27</x:f>
        <x:v>DEMO-03</x:v>
      </x:c>
      <x:c r="D27" s="9" t="n">
        <x:f>MPS!J27</x:f>
        <x:v>10504</x:v>
      </x:c>
      <x:c r="E27" s="9" t="n">
        <x:f>Inputs!E9</x:f>
        <x:v>80</x:v>
      </x:c>
      <x:c r="F27" s="15" t="n">
        <x:f>D27/E27</x:f>
        <x:v>131.3</x:v>
      </x:c>
      <x:c r="G27" s="9" t="str">
        <x:f>MPS!M27</x:f>
        <x:v>ON TARGET</x:v>
      </x:c>
    </x:row>
    <x:row r="28" ht="25" customHeight="1">
      <x:c r="A28" s="11" t="n">
        <x:f>MPS!A28</x:f>
        <x:v>46447</x:v>
      </x:c>
      <x:c r="B28" s="9" t="str">
        <x:f>MPS!B28</x:f>
        <x:v>WH-2</x:v>
      </x:c>
      <x:c r="C28" s="9" t="str">
        <x:f>MPS!C28</x:f>
        <x:v>DEMO-03</x:v>
      </x:c>
      <x:c r="D28" s="9" t="n">
        <x:f>MPS!J28</x:f>
        <x:v>12256</x:v>
      </x:c>
      <x:c r="E28" s="9" t="n">
        <x:f>Inputs!E9</x:f>
        <x:v>80</x:v>
      </x:c>
      <x:c r="F28" s="15" t="n">
        <x:f>D28/E28</x:f>
        <x:v>153.2</x:v>
      </x:c>
      <x:c r="G28" s="9" t="str">
        <x:f>MPS!M28</x:f>
        <x:v>ON TARGET</x:v>
      </x:c>
    </x:row>
    <x:row r="29" ht="25" customHeight="1">
      <x:c r="A29" s="11" t="n">
        <x:f>MPS!A29</x:f>
        <x:v>46447</x:v>
      </x:c>
      <x:c r="B29" s="9" t="str">
        <x:f>MPS!B29</x:f>
        <x:v>WH-1</x:v>
      </x:c>
      <x:c r="C29" s="9" t="str">
        <x:f>MPS!C29</x:f>
        <x:v>DEMO-04</x:v>
      </x:c>
      <x:c r="D29" s="9" t="n">
        <x:f>MPS!J29</x:f>
        <x:v>11663</x:v>
      </x:c>
      <x:c r="E29" s="9" t="n">
        <x:f>Inputs!E10</x:f>
        <x:v>90</x:v>
      </x:c>
      <x:c r="F29" s="15" t="n">
        <x:f>D29/E29</x:f>
        <x:v>129.5888888888889</x:v>
      </x:c>
      <x:c r="G29" s="9" t="str">
        <x:f>MPS!M29</x:f>
        <x:v>ON TARGET</x:v>
      </x:c>
    </x:row>
    <x:row r="30" ht="25" customHeight="1">
      <x:c r="A30" s="11" t="n">
        <x:f>MPS!A30</x:f>
        <x:v>46447</x:v>
      </x:c>
      <x:c r="B30" s="9" t="str">
        <x:f>MPS!B30</x:f>
        <x:v>WH-2</x:v>
      </x:c>
      <x:c r="C30" s="9" t="str">
        <x:f>MPS!C30</x:f>
        <x:v>DEMO-04</x:v>
      </x:c>
      <x:c r="D30" s="9" t="n">
        <x:f>MPS!J30</x:f>
        <x:v>13375</x:v>
      </x:c>
      <x:c r="E30" s="9" t="n">
        <x:f>Inputs!E10</x:f>
        <x:v>90</x:v>
      </x:c>
      <x:c r="F30" s="15" t="n">
        <x:f>D30/E30</x:f>
        <x:v>148.61111111111111</x:v>
      </x:c>
      <x:c r="G30" s="9" t="str">
        <x:f>MPS!M30</x:f>
        <x:v>ON TARGET</x:v>
      </x:c>
    </x:row>
    <x:row r="31" ht="25" customHeight="1">
      <x:c r="A31" s="11" t="n">
        <x:f>MPS!A31</x:f>
        <x:v>46478</x:v>
      </x:c>
      <x:c r="B31" s="9" t="str">
        <x:f>MPS!B31</x:f>
        <x:v>WH-1</x:v>
      </x:c>
      <x:c r="C31" s="9" t="str">
        <x:f>MPS!C31</x:f>
        <x:v>DEMO-01</x:v>
      </x:c>
      <x:c r="D31" s="9" t="n">
        <x:f>MPS!J31</x:f>
        <x:v>7905</x:v>
      </x:c>
      <x:c r="E31" s="9" t="n">
        <x:f>Inputs!E7</x:f>
        <x:v>120</x:v>
      </x:c>
      <x:c r="F31" s="15" t="n">
        <x:f>D31/E31</x:f>
        <x:v>65.875</x:v>
      </x:c>
      <x:c r="G31" s="9" t="str">
        <x:f>MPS!M31</x:f>
        <x:v>ON TARGET</x:v>
      </x:c>
    </x:row>
    <x:row r="32" ht="25" customHeight="1">
      <x:c r="A32" s="11" t="n">
        <x:f>MPS!A32</x:f>
        <x:v>46478</x:v>
      </x:c>
      <x:c r="B32" s="9" t="str">
        <x:f>MPS!B32</x:f>
        <x:v>WH-2</x:v>
      </x:c>
      <x:c r="C32" s="9" t="str">
        <x:f>MPS!C32</x:f>
        <x:v>DEMO-01</x:v>
      </x:c>
      <x:c r="D32" s="9" t="n">
        <x:f>MPS!J32</x:f>
        <x:v>9712</x:v>
      </x:c>
      <x:c r="E32" s="9" t="n">
        <x:f>Inputs!E7</x:f>
        <x:v>120</x:v>
      </x:c>
      <x:c r="F32" s="15" t="n">
        <x:f>D32/E32</x:f>
        <x:v>80.93333333333334</x:v>
      </x:c>
      <x:c r="G32" s="9" t="str">
        <x:f>MPS!M32</x:f>
        <x:v>ON TARGET</x:v>
      </x:c>
    </x:row>
    <x:row r="33" ht="25" customHeight="1">
      <x:c r="A33" s="11" t="n">
        <x:f>MPS!A33</x:f>
        <x:v>46478</x:v>
      </x:c>
      <x:c r="B33" s="9" t="str">
        <x:f>MPS!B33</x:f>
        <x:v>WH-1</x:v>
      </x:c>
      <x:c r="C33" s="9" t="str">
        <x:f>MPS!C33</x:f>
        <x:v>DEMO-02</x:v>
      </x:c>
      <x:c r="D33" s="9" t="n">
        <x:f>MPS!J33</x:f>
        <x:v>9373</x:v>
      </x:c>
      <x:c r="E33" s="9" t="n">
        <x:f>Inputs!E8</x:f>
        <x:v>100</x:v>
      </x:c>
      <x:c r="F33" s="15" t="n">
        <x:f>D33/E33</x:f>
        <x:v>93.73</x:v>
      </x:c>
      <x:c r="G33" s="9" t="str">
        <x:f>MPS!M33</x:f>
        <x:v>ON TARGET</x:v>
      </x:c>
    </x:row>
    <x:row r="34" ht="25" customHeight="1">
      <x:c r="A34" s="11" t="n">
        <x:f>MPS!A34</x:f>
        <x:v>46478</x:v>
      </x:c>
      <x:c r="B34" s="9" t="str">
        <x:f>MPS!B34</x:f>
        <x:v>WH-2</x:v>
      </x:c>
      <x:c r="C34" s="9" t="str">
        <x:f>MPS!C34</x:f>
        <x:v>DEMO-02</x:v>
      </x:c>
      <x:c r="D34" s="9" t="n">
        <x:f>MPS!J34</x:f>
        <x:v>11180</x:v>
      </x:c>
      <x:c r="E34" s="9" t="n">
        <x:f>Inputs!E8</x:f>
        <x:v>100</x:v>
      </x:c>
      <x:c r="F34" s="15" t="n">
        <x:f>D34/E34</x:f>
        <x:v>111.8</x:v>
      </x:c>
      <x:c r="G34" s="9" t="str">
        <x:f>MPS!M34</x:f>
        <x:v>ON TARGET</x:v>
      </x:c>
    </x:row>
    <x:row r="35" ht="25" customHeight="1">
      <x:c r="A35" s="11" t="n">
        <x:f>MPS!A35</x:f>
        <x:v>46478</x:v>
      </x:c>
      <x:c r="B35" s="9" t="str">
        <x:f>MPS!B35</x:f>
        <x:v>WH-1</x:v>
      </x:c>
      <x:c r="C35" s="9" t="str">
        <x:f>MPS!C35</x:f>
        <x:v>DEMO-03</x:v>
      </x:c>
      <x:c r="D35" s="9" t="n">
        <x:f>MPS!J35</x:f>
        <x:v>10841</x:v>
      </x:c>
      <x:c r="E35" s="9" t="n">
        <x:f>Inputs!E9</x:f>
        <x:v>80</x:v>
      </x:c>
      <x:c r="F35" s="15" t="n">
        <x:f>D35/E35</x:f>
        <x:v>135.5125</x:v>
      </x:c>
      <x:c r="G35" s="9" t="str">
        <x:f>MPS!M35</x:f>
        <x:v>ON TARGET</x:v>
      </x:c>
    </x:row>
    <x:row r="36" ht="25" customHeight="1">
      <x:c r="A36" s="11" t="n">
        <x:f>MPS!A36</x:f>
        <x:v>46478</x:v>
      </x:c>
      <x:c r="B36" s="9" t="str">
        <x:f>MPS!B36</x:f>
        <x:v>WH-2</x:v>
      </x:c>
      <x:c r="C36" s="9" t="str">
        <x:f>MPS!C36</x:f>
        <x:v>DEMO-03</x:v>
      </x:c>
      <x:c r="D36" s="9" t="n">
        <x:f>MPS!J36</x:f>
        <x:v>12647</x:v>
      </x:c>
      <x:c r="E36" s="9" t="n">
        <x:f>Inputs!E9</x:f>
        <x:v>80</x:v>
      </x:c>
      <x:c r="F36" s="15" t="n">
        <x:f>D36/E36</x:f>
        <x:v>158.0875</x:v>
      </x:c>
      <x:c r="G36" s="9" t="str">
        <x:f>MPS!M36</x:f>
        <x:v>ON TARGET</x:v>
      </x:c>
    </x:row>
    <x:row r="37" ht="25" customHeight="1">
      <x:c r="A37" s="11" t="n">
        <x:f>MPS!A37</x:f>
        <x:v>46478</x:v>
      </x:c>
      <x:c r="B37" s="9" t="str">
        <x:f>MPS!B37</x:f>
        <x:v>WH-1</x:v>
      </x:c>
      <x:c r="C37" s="9" t="str">
        <x:f>MPS!C37</x:f>
        <x:v>DEMO-04</x:v>
      </x:c>
      <x:c r="D37" s="9" t="n">
        <x:f>MPS!J37</x:f>
        <x:v>12045</x:v>
      </x:c>
      <x:c r="E37" s="9" t="n">
        <x:f>Inputs!E10</x:f>
        <x:v>90</x:v>
      </x:c>
      <x:c r="F37" s="15" t="n">
        <x:f>D37/E37</x:f>
        <x:v>133.83333333333334</x:v>
      </x:c>
      <x:c r="G37" s="9" t="str">
        <x:f>MPS!M37</x:f>
        <x:v>ON TARGET</x:v>
      </x:c>
    </x:row>
    <x:row r="38" ht="25" customHeight="1">
      <x:c r="A38" s="11" t="n">
        <x:f>MPS!A38</x:f>
        <x:v>46478</x:v>
      </x:c>
      <x:c r="B38" s="9" t="str">
        <x:f>MPS!B38</x:f>
        <x:v>WH-2</x:v>
      </x:c>
      <x:c r="C38" s="9" t="str">
        <x:f>MPS!C38</x:f>
        <x:v>DEMO-04</x:v>
      </x:c>
      <x:c r="D38" s="9" t="n">
        <x:f>MPS!J38</x:f>
        <x:v>13813</x:v>
      </x:c>
      <x:c r="E38" s="9" t="n">
        <x:f>Inputs!E10</x:f>
        <x:v>90</x:v>
      </x:c>
      <x:c r="F38" s="15" t="n">
        <x:f>D38/E38</x:f>
        <x:v>153.4777777777778</x:v>
      </x:c>
      <x:c r="G38" s="9" t="str">
        <x:f>MPS!M38</x:f>
        <x:v>ON TARGET</x:v>
      </x:c>
    </x:row>
    <x:row r="39" ht="25" customHeight="1">
      <x:c r="A39" s="11" t="n">
        <x:f>MPS!A39</x:f>
        <x:v>46508</x:v>
      </x:c>
      <x:c r="B39" s="9" t="str">
        <x:f>MPS!B39</x:f>
        <x:v>WH-1</x:v>
      </x:c>
      <x:c r="C39" s="9" t="str">
        <x:f>MPS!C39</x:f>
        <x:v>DEMO-01</x:v>
      </x:c>
      <x:c r="D39" s="9" t="n">
        <x:f>MPS!J39</x:f>
        <x:v>8149</x:v>
      </x:c>
      <x:c r="E39" s="9" t="n">
        <x:f>Inputs!E7</x:f>
        <x:v>120</x:v>
      </x:c>
      <x:c r="F39" s="15" t="n">
        <x:f>D39/E39</x:f>
        <x:v>67.90833333333333</x:v>
      </x:c>
      <x:c r="G39" s="9" t="str">
        <x:f>MPS!M39</x:f>
        <x:v>ON TARGET</x:v>
      </x:c>
    </x:row>
    <x:row r="40" ht="25" customHeight="1">
      <x:c r="A40" s="11" t="n">
        <x:f>MPS!A40</x:f>
        <x:v>46508</x:v>
      </x:c>
      <x:c r="B40" s="9" t="str">
        <x:f>MPS!B40</x:f>
        <x:v>WH-2</x:v>
      </x:c>
      <x:c r="C40" s="9" t="str">
        <x:f>MPS!C40</x:f>
        <x:v>DEMO-01</x:v>
      </x:c>
      <x:c r="D40" s="9" t="n">
        <x:f>MPS!J40</x:f>
        <x:v>10012</x:v>
      </x:c>
      <x:c r="E40" s="9" t="n">
        <x:f>Inputs!E7</x:f>
        <x:v>120</x:v>
      </x:c>
      <x:c r="F40" s="15" t="n">
        <x:f>D40/E40</x:f>
        <x:v>83.43333333333334</x:v>
      </x:c>
      <x:c r="G40" s="9" t="str">
        <x:f>MPS!M40</x:f>
        <x:v>ON TARGET</x:v>
      </x:c>
    </x:row>
    <x:row r="41" ht="25" customHeight="1">
      <x:c r="A41" s="11" t="n">
        <x:f>MPS!A41</x:f>
        <x:v>46508</x:v>
      </x:c>
      <x:c r="B41" s="9" t="str">
        <x:f>MPS!B41</x:f>
        <x:v>WH-1</x:v>
      </x:c>
      <x:c r="C41" s="9" t="str">
        <x:f>MPS!C41</x:f>
        <x:v>DEMO-02</x:v>
      </x:c>
      <x:c r="D41" s="9" t="n">
        <x:f>MPS!J41</x:f>
        <x:v>9663</x:v>
      </x:c>
      <x:c r="E41" s="9" t="n">
        <x:f>Inputs!E8</x:f>
        <x:v>100</x:v>
      </x:c>
      <x:c r="F41" s="15" t="n">
        <x:f>D41/E41</x:f>
        <x:v>96.63</x:v>
      </x:c>
      <x:c r="G41" s="9" t="str">
        <x:f>MPS!M41</x:f>
        <x:v>ON TARGET</x:v>
      </x:c>
    </x:row>
    <x:row r="42" ht="25" customHeight="1">
      <x:c r="A42" s="11" t="n">
        <x:f>MPS!A42</x:f>
        <x:v>46508</x:v>
      </x:c>
      <x:c r="B42" s="9" t="str">
        <x:f>MPS!B42</x:f>
        <x:v>WH-2</x:v>
      </x:c>
      <x:c r="C42" s="9" t="str">
        <x:f>MPS!C42</x:f>
        <x:v>DEMO-02</x:v>
      </x:c>
      <x:c r="D42" s="9" t="n">
        <x:f>MPS!J42</x:f>
        <x:v>11526</x:v>
      </x:c>
      <x:c r="E42" s="9" t="n">
        <x:f>Inputs!E8</x:f>
        <x:v>100</x:v>
      </x:c>
      <x:c r="F42" s="15" t="n">
        <x:f>D42/E42</x:f>
        <x:v>115.26</x:v>
      </x:c>
      <x:c r="G42" s="9" t="str">
        <x:f>MPS!M42</x:f>
        <x:v>ON TARGET</x:v>
      </x:c>
    </x:row>
    <x:row r="43" ht="25" customHeight="1">
      <x:c r="A43" s="11" t="n">
        <x:f>MPS!A43</x:f>
        <x:v>46508</x:v>
      </x:c>
      <x:c r="B43" s="9" t="str">
        <x:f>MPS!B43</x:f>
        <x:v>WH-1</x:v>
      </x:c>
      <x:c r="C43" s="9" t="str">
        <x:f>MPS!C43</x:f>
        <x:v>DEMO-03</x:v>
      </x:c>
      <x:c r="D43" s="9" t="n">
        <x:f>MPS!J43</x:f>
        <x:v>11177</x:v>
      </x:c>
      <x:c r="E43" s="9" t="n">
        <x:f>Inputs!E9</x:f>
        <x:v>80</x:v>
      </x:c>
      <x:c r="F43" s="15" t="n">
        <x:f>D43/E43</x:f>
        <x:v>139.7125</x:v>
      </x:c>
      <x:c r="G43" s="9" t="str">
        <x:f>MPS!M43</x:f>
        <x:v>ON TARGET</x:v>
      </x:c>
    </x:row>
    <x:row r="44" ht="25" customHeight="1">
      <x:c r="A44" s="11" t="n">
        <x:f>MPS!A44</x:f>
        <x:v>46508</x:v>
      </x:c>
      <x:c r="B44" s="9" t="str">
        <x:f>MPS!B44</x:f>
        <x:v>WH-2</x:v>
      </x:c>
      <x:c r="C44" s="9" t="str">
        <x:f>MPS!C44</x:f>
        <x:v>DEMO-03</x:v>
      </x:c>
      <x:c r="D44" s="9" t="n">
        <x:f>MPS!J44</x:f>
        <x:v>13040</x:v>
      </x:c>
      <x:c r="E44" s="9" t="n">
        <x:f>Inputs!E9</x:f>
        <x:v>80</x:v>
      </x:c>
      <x:c r="F44" s="15" t="n">
        <x:f>D44/E44</x:f>
        <x:v>163</x:v>
      </x:c>
      <x:c r="G44" s="9" t="str">
        <x:f>MPS!M44</x:f>
        <x:v>ON TARGET</x:v>
      </x:c>
    </x:row>
    <x:row r="45" ht="25" customHeight="1">
      <x:c r="A45" s="11" t="n">
        <x:f>MPS!A45</x:f>
        <x:v>46508</x:v>
      </x:c>
      <x:c r="B45" s="9" t="str">
        <x:f>MPS!B45</x:f>
        <x:v>WH-1</x:v>
      </x:c>
      <x:c r="C45" s="9" t="str">
        <x:f>MPS!C45</x:f>
        <x:v>DEMO-04</x:v>
      </x:c>
      <x:c r="D45" s="9" t="n">
        <x:f>MPS!J45</x:f>
        <x:v>12426</x:v>
      </x:c>
      <x:c r="E45" s="9" t="n">
        <x:f>Inputs!E10</x:f>
        <x:v>90</x:v>
      </x:c>
      <x:c r="F45" s="15" t="n">
        <x:f>D45/E45</x:f>
        <x:v>138.06666666666666</x:v>
      </x:c>
      <x:c r="G45" s="9" t="str">
        <x:f>MPS!M45</x:f>
        <x:v>ON TARGET</x:v>
      </x:c>
    </x:row>
    <x:row r="46" ht="25" customHeight="1">
      <x:c r="A46" s="11" t="n">
        <x:f>MPS!A46</x:f>
        <x:v>46508</x:v>
      </x:c>
      <x:c r="B46" s="9" t="str">
        <x:f>MPS!B46</x:f>
        <x:v>WH-2</x:v>
      </x:c>
      <x:c r="C46" s="9" t="str">
        <x:f>MPS!C46</x:f>
        <x:v>DEMO-04</x:v>
      </x:c>
      <x:c r="D46" s="9" t="n">
        <x:f>MPS!J46</x:f>
        <x:v>14250</x:v>
      </x:c>
      <x:c r="E46" s="9" t="n">
        <x:f>Inputs!E10</x:f>
        <x:v>90</x:v>
      </x:c>
      <x:c r="F46" s="15" t="n">
        <x:f>D46/E46</x:f>
        <x:v>158.33333333333334</x:v>
      </x:c>
      <x:c r="G46" s="9" t="str">
        <x:f>MPS!M46</x:f>
        <x:v>ON TARGET</x:v>
      </x:c>
    </x:row>
    <x:row r="47" ht="25" customHeight="1">
      <x:c r="A47" s="11" t="n">
        <x:f>MPS!A47</x:f>
        <x:v>46539</x:v>
      </x:c>
      <x:c r="B47" s="9" t="str">
        <x:f>MPS!B47</x:f>
        <x:v>WH-1</x:v>
      </x:c>
      <x:c r="C47" s="9" t="str">
        <x:f>MPS!C47</x:f>
        <x:v>DEMO-01</x:v>
      </x:c>
      <x:c r="D47" s="9" t="n">
        <x:f>MPS!J47</x:f>
        <x:v>12543</x:v>
      </x:c>
      <x:c r="E47" s="9" t="n">
        <x:f>Inputs!E7</x:f>
        <x:v>120</x:v>
      </x:c>
      <x:c r="F47" s="15" t="n">
        <x:f>D47/E47</x:f>
        <x:v>104.525</x:v>
      </x:c>
      <x:c r="G47" s="9" t="str">
        <x:f>MPS!M47</x:f>
        <x:v>ON TARGET</x:v>
      </x:c>
    </x:row>
    <x:row r="48" ht="25" customHeight="1">
      <x:c r="A48" s="11" t="n">
        <x:f>MPS!A48</x:f>
        <x:v>46539</x:v>
      </x:c>
      <x:c r="B48" s="9" t="str">
        <x:f>MPS!B48</x:f>
        <x:v>WH-2</x:v>
      </x:c>
      <x:c r="C48" s="9" t="str">
        <x:f>MPS!C48</x:f>
        <x:v>DEMO-01</x:v>
      </x:c>
      <x:c r="D48" s="9" t="n">
        <x:f>MPS!J48</x:f>
        <x:v>15409</x:v>
      </x:c>
      <x:c r="E48" s="9" t="n">
        <x:f>Inputs!E7</x:f>
        <x:v>120</x:v>
      </x:c>
      <x:c r="F48" s="15" t="n">
        <x:f>D48/E48</x:f>
        <x:v>128.40833333333333</x:v>
      </x:c>
      <x:c r="G48" s="9" t="str">
        <x:f>MPS!M48</x:f>
        <x:v>ON TARGET</x:v>
      </x:c>
    </x:row>
    <x:row r="49" ht="25" customHeight="1">
      <x:c r="A49" s="11" t="n">
        <x:f>MPS!A49</x:f>
        <x:v>46539</x:v>
      </x:c>
      <x:c r="B49" s="9" t="str">
        <x:f>MPS!B49</x:f>
        <x:v>WH-1</x:v>
      </x:c>
      <x:c r="C49" s="9" t="str">
        <x:f>MPS!C49</x:f>
        <x:v>DEMO-02</x:v>
      </x:c>
      <x:c r="D49" s="9" t="n">
        <x:f>MPS!J49</x:f>
        <x:v>14872</x:v>
      </x:c>
      <x:c r="E49" s="9" t="n">
        <x:f>Inputs!E8</x:f>
        <x:v>100</x:v>
      </x:c>
      <x:c r="F49" s="15" t="n">
        <x:f>D49/E49</x:f>
        <x:v>148.72</x:v>
      </x:c>
      <x:c r="G49" s="9" t="str">
        <x:f>MPS!M49</x:f>
        <x:v>ON TARGET</x:v>
      </x:c>
    </x:row>
    <x:row r="50" ht="25" customHeight="1">
      <x:c r="A50" s="11" t="n">
        <x:f>MPS!A50</x:f>
        <x:v>46539</x:v>
      </x:c>
      <x:c r="B50" s="9" t="str">
        <x:f>MPS!B50</x:f>
        <x:v>WH-2</x:v>
      </x:c>
      <x:c r="C50" s="9" t="str">
        <x:f>MPS!C50</x:f>
        <x:v>DEMO-02</x:v>
      </x:c>
      <x:c r="D50" s="9" t="n">
        <x:f>MPS!J50</x:f>
        <x:v>17739</x:v>
      </x:c>
      <x:c r="E50" s="9" t="n">
        <x:f>Inputs!E8</x:f>
        <x:v>100</x:v>
      </x:c>
      <x:c r="F50" s="15" t="n">
        <x:f>D50/E50</x:f>
        <x:v>177.39</x:v>
      </x:c>
      <x:c r="G50" s="9" t="str">
        <x:f>MPS!M50</x:f>
        <x:v>ON TARGET</x:v>
      </x:c>
    </x:row>
    <x:row r="51" ht="25" customHeight="1">
      <x:c r="A51" s="11" t="n">
        <x:f>MPS!A51</x:f>
        <x:v>46539</x:v>
      </x:c>
      <x:c r="B51" s="9" t="str">
        <x:f>MPS!B51</x:f>
        <x:v>WH-1</x:v>
      </x:c>
      <x:c r="C51" s="9" t="str">
        <x:f>MPS!C51</x:f>
        <x:v>DEMO-03</x:v>
      </x:c>
      <x:c r="D51" s="9" t="n">
        <x:f>MPS!J51</x:f>
        <x:v>17201</x:v>
      </x:c>
      <x:c r="E51" s="9" t="n">
        <x:f>Inputs!E9</x:f>
        <x:v>80</x:v>
      </x:c>
      <x:c r="F51" s="15" t="n">
        <x:f>D51/E51</x:f>
        <x:v>215.0125</x:v>
      </x:c>
      <x:c r="G51" s="9" t="str">
        <x:f>MPS!M51</x:f>
        <x:v>ON TARGET</x:v>
      </x:c>
    </x:row>
    <x:row r="52" ht="25" customHeight="1">
      <x:c r="A52" s="11" t="n">
        <x:f>MPS!A52</x:f>
        <x:v>46539</x:v>
      </x:c>
      <x:c r="B52" s="9" t="str">
        <x:f>MPS!B52</x:f>
        <x:v>WH-2</x:v>
      </x:c>
      <x:c r="C52" s="9" t="str">
        <x:f>MPS!C52</x:f>
        <x:v>DEMO-03</x:v>
      </x:c>
      <x:c r="D52" s="9" t="n">
        <x:f>MPS!J52</x:f>
        <x:v>20067</x:v>
      </x:c>
      <x:c r="E52" s="9" t="n">
        <x:f>Inputs!E9</x:f>
        <x:v>80</x:v>
      </x:c>
      <x:c r="F52" s="15" t="n">
        <x:f>D52/E52</x:f>
        <x:v>250.8375</x:v>
      </x:c>
      <x:c r="G52" s="9" t="str">
        <x:f>MPS!M52</x:f>
        <x:v>ON TARGET</x:v>
      </x:c>
    </x:row>
    <x:row r="53" ht="25" customHeight="1">
      <x:c r="A53" s="11" t="n">
        <x:f>MPS!A53</x:f>
        <x:v>46539</x:v>
      </x:c>
      <x:c r="B53" s="9" t="str">
        <x:f>MPS!B53</x:f>
        <x:v>WH-1</x:v>
      </x:c>
      <x:c r="C53" s="9" t="str">
        <x:f>MPS!C53</x:f>
        <x:v>DEMO-04</x:v>
      </x:c>
      <x:c r="D53" s="9" t="n">
        <x:f>MPS!J53</x:f>
        <x:v>16623</x:v>
      </x:c>
      <x:c r="E53" s="9" t="n">
        <x:f>Inputs!E10</x:f>
        <x:v>90</x:v>
      </x:c>
      <x:c r="F53" s="15" t="n">
        <x:f>D53/E53</x:f>
        <x:v>184.7</x:v>
      </x:c>
      <x:c r="G53" s="9" t="str">
        <x:f>MPS!M53</x:f>
        <x:v>ON TARGET</x:v>
      </x:c>
    </x:row>
    <x:row r="54" ht="25" customHeight="1">
      <x:c r="A54" s="11" t="n">
        <x:f>MPS!A54</x:f>
        <x:v>46539</x:v>
      </x:c>
      <x:c r="B54" s="9" t="str">
        <x:f>MPS!B54</x:f>
        <x:v>WH-2</x:v>
      </x:c>
      <x:c r="C54" s="9" t="str">
        <x:f>MPS!C54</x:f>
        <x:v>DEMO-04</x:v>
      </x:c>
      <x:c r="D54" s="9" t="n">
        <x:f>MPS!J54</x:f>
        <x:v>19063</x:v>
      </x:c>
      <x:c r="E54" s="9" t="n">
        <x:f>Inputs!E10</x:f>
        <x:v>90</x:v>
      </x:c>
      <x:c r="F54" s="15" t="n">
        <x:f>D54/E54</x:f>
        <x:v>211.8111111111111</x:v>
      </x:c>
      <x:c r="G54" s="9" t="str">
        <x:f>MPS!M54</x:f>
        <x:v>ON TARGET</x:v>
      </x:c>
    </x:row>
    <x:row r="55" ht="25" customHeight="1">
      <x:c r="A55" s="11" t="n">
        <x:f>MPS!A55</x:f>
        <x:v>46569</x:v>
      </x:c>
      <x:c r="B55" s="9" t="str">
        <x:f>MPS!B55</x:f>
        <x:v>WH-1</x:v>
      </x:c>
      <x:c r="C55" s="9" t="str">
        <x:f>MPS!C55</x:f>
        <x:v>DEMO-01</x:v>
      </x:c>
      <x:c r="D55" s="9" t="n">
        <x:f>MPS!J55</x:f>
        <x:v>6942</x:v>
      </x:c>
      <x:c r="E55" s="9" t="n">
        <x:f>Inputs!E7</x:f>
        <x:v>120</x:v>
      </x:c>
      <x:c r="F55" s="15" t="n">
        <x:f>D55/E55</x:f>
        <x:v>57.85</x:v>
      </x:c>
      <x:c r="G55" s="9" t="str">
        <x:f>MPS!M55</x:f>
        <x:v>ON TARGET</x:v>
      </x:c>
    </x:row>
    <x:row r="56" ht="25" customHeight="1">
      <x:c r="A56" s="11" t="n">
        <x:f>MPS!A56</x:f>
        <x:v>46569</x:v>
      </x:c>
      <x:c r="B56" s="9" t="str">
        <x:f>MPS!B56</x:f>
        <x:v>WH-2</x:v>
      </x:c>
      <x:c r="C56" s="9" t="str">
        <x:f>MPS!C56</x:f>
        <x:v>DEMO-01</x:v>
      </x:c>
      <x:c r="D56" s="9" t="n">
        <x:f>MPS!J56</x:f>
        <x:v>8529</x:v>
      </x:c>
      <x:c r="E56" s="9" t="n">
        <x:f>Inputs!E7</x:f>
        <x:v>120</x:v>
      </x:c>
      <x:c r="F56" s="15" t="n">
        <x:f>D56/E56</x:f>
        <x:v>71.075</x:v>
      </x:c>
      <x:c r="G56" s="9" t="str">
        <x:f>MPS!M56</x:f>
        <x:v>ON TARGET</x:v>
      </x:c>
    </x:row>
    <x:row r="57" ht="25" customHeight="1">
      <x:c r="A57" s="11" t="n">
        <x:f>MPS!A57</x:f>
        <x:v>46569</x:v>
      </x:c>
      <x:c r="B57" s="9" t="str">
        <x:f>MPS!B57</x:f>
        <x:v>WH-1</x:v>
      </x:c>
      <x:c r="C57" s="9" t="str">
        <x:f>MPS!C57</x:f>
        <x:v>DEMO-02</x:v>
      </x:c>
      <x:c r="D57" s="9" t="n">
        <x:f>MPS!J57</x:f>
        <x:v>8232</x:v>
      </x:c>
      <x:c r="E57" s="9" t="n">
        <x:f>Inputs!E8</x:f>
        <x:v>100</x:v>
      </x:c>
      <x:c r="F57" s="15" t="n">
        <x:f>D57/E57</x:f>
        <x:v>82.32</x:v>
      </x:c>
      <x:c r="G57" s="9" t="str">
        <x:f>MPS!M57</x:f>
        <x:v>ON TARGET</x:v>
      </x:c>
    </x:row>
    <x:row r="58" ht="25" customHeight="1">
      <x:c r="A58" s="11" t="n">
        <x:f>MPS!A58</x:f>
        <x:v>46569</x:v>
      </x:c>
      <x:c r="B58" s="9" t="str">
        <x:f>MPS!B58</x:f>
        <x:v>WH-2</x:v>
      </x:c>
      <x:c r="C58" s="9" t="str">
        <x:f>MPS!C58</x:f>
        <x:v>DEMO-02</x:v>
      </x:c>
      <x:c r="D58" s="9" t="n">
        <x:f>MPS!J58</x:f>
        <x:v>9818</x:v>
      </x:c>
      <x:c r="E58" s="9" t="n">
        <x:f>Inputs!E8</x:f>
        <x:v>100</x:v>
      </x:c>
      <x:c r="F58" s="15" t="n">
        <x:f>D58/E58</x:f>
        <x:v>98.18</x:v>
      </x:c>
      <x:c r="G58" s="9" t="str">
        <x:f>MPS!M58</x:f>
        <x:v>ON TARGET</x:v>
      </x:c>
    </x:row>
    <x:row r="59" ht="25" customHeight="1">
      <x:c r="A59" s="11" t="n">
        <x:f>MPS!A59</x:f>
        <x:v>46569</x:v>
      </x:c>
      <x:c r="B59" s="9" t="str">
        <x:f>MPS!B59</x:f>
        <x:v>WH-1</x:v>
      </x:c>
      <x:c r="C59" s="9" t="str">
        <x:f>MPS!C59</x:f>
        <x:v>DEMO-03</x:v>
      </x:c>
      <x:c r="D59" s="9" t="n">
        <x:f>MPS!J59</x:f>
        <x:v>9521</x:v>
      </x:c>
      <x:c r="E59" s="9" t="n">
        <x:f>Inputs!E9</x:f>
        <x:v>80</x:v>
      </x:c>
      <x:c r="F59" s="15" t="n">
        <x:f>D59/E59</x:f>
        <x:v>119.0125</x:v>
      </x:c>
      <x:c r="G59" s="9" t="str">
        <x:f>MPS!M59</x:f>
        <x:v>ON TARGET</x:v>
      </x:c>
    </x:row>
    <x:row r="60" ht="25" customHeight="1">
      <x:c r="A60" s="11" t="n">
        <x:f>MPS!A60</x:f>
        <x:v>46569</x:v>
      </x:c>
      <x:c r="B60" s="9" t="str">
        <x:f>MPS!B60</x:f>
        <x:v>WH-2</x:v>
      </x:c>
      <x:c r="C60" s="9" t="str">
        <x:f>MPS!C60</x:f>
        <x:v>DEMO-03</x:v>
      </x:c>
      <x:c r="D60" s="9" t="n">
        <x:f>MPS!J60</x:f>
        <x:v>11108</x:v>
      </x:c>
      <x:c r="E60" s="9" t="n">
        <x:f>Inputs!E9</x:f>
        <x:v>80</x:v>
      </x:c>
      <x:c r="F60" s="15" t="n">
        <x:f>D60/E60</x:f>
        <x:v>138.85</x:v>
      </x:c>
      <x:c r="G60" s="9" t="str">
        <x:f>MPS!M60</x:f>
        <x:v>ON TARGET</x:v>
      </x:c>
    </x:row>
    <x:row r="61" ht="25" customHeight="1">
      <x:c r="A61" s="11" t="n">
        <x:f>MPS!A61</x:f>
        <x:v>46569</x:v>
      </x:c>
      <x:c r="B61" s="9" t="str">
        <x:f>MPS!B61</x:f>
        <x:v>WH-1</x:v>
      </x:c>
      <x:c r="C61" s="9" t="str">
        <x:f>MPS!C61</x:f>
        <x:v>DEMO-04</x:v>
      </x:c>
      <x:c r="D61" s="9" t="n">
        <x:f>MPS!J61</x:f>
        <x:v>13189</x:v>
      </x:c>
      <x:c r="E61" s="9" t="n">
        <x:f>Inputs!E10</x:f>
        <x:v>90</x:v>
      </x:c>
      <x:c r="F61" s="15" t="n">
        <x:f>D61/E61</x:f>
        <x:v>146.54444444444445</x:v>
      </x:c>
      <x:c r="G61" s="9" t="str">
        <x:f>MPS!M61</x:f>
        <x:v>ON TARGET</x:v>
      </x:c>
    </x:row>
    <x:row r="62" ht="25" customHeight="1">
      <x:c r="A62" s="11" t="n">
        <x:f>MPS!A62</x:f>
        <x:v>46569</x:v>
      </x:c>
      <x:c r="B62" s="9" t="str">
        <x:f>MPS!B62</x:f>
        <x:v>WH-2</x:v>
      </x:c>
      <x:c r="C62" s="9" t="str">
        <x:f>MPS!C62</x:f>
        <x:v>DEMO-04</x:v>
      </x:c>
      <x:c r="D62" s="9" t="n">
        <x:f>MPS!J62</x:f>
        <x:v>15125</x:v>
      </x:c>
      <x:c r="E62" s="9" t="n">
        <x:f>Inputs!E10</x:f>
        <x:v>90</x:v>
      </x:c>
      <x:c r="F62" s="15" t="n">
        <x:f>D62/E62</x:f>
        <x:v>168.05555555555554</x:v>
      </x:c>
      <x:c r="G62" s="9" t="str">
        <x:f>MPS!M62</x:f>
        <x:v>ON TARGET</x:v>
      </x:c>
    </x:row>
    <x:row r="63" ht="25" customHeight="1">
      <x:c r="A63" s="11" t="n">
        <x:f>MPS!A63</x:f>
        <x:v>46600</x:v>
      </x:c>
      <x:c r="B63" s="9" t="str">
        <x:f>MPS!B63</x:f>
        <x:v>WH-1</x:v>
      </x:c>
      <x:c r="C63" s="9" t="str">
        <x:f>MPS!C63</x:f>
        <x:v>DEMO-01</x:v>
      </x:c>
      <x:c r="D63" s="9" t="n">
        <x:f>MPS!J63</x:f>
        <x:v>8885</x:v>
      </x:c>
      <x:c r="E63" s="9" t="n">
        <x:f>Inputs!E7</x:f>
        <x:v>120</x:v>
      </x:c>
      <x:c r="F63" s="15" t="n">
        <x:f>D63/E63</x:f>
        <x:v>74.04166666666667</x:v>
      </x:c>
      <x:c r="G63" s="9" t="str">
        <x:f>MPS!M63</x:f>
        <x:v>ON TARGET</x:v>
      </x:c>
    </x:row>
    <x:row r="64" ht="25" customHeight="1">
      <x:c r="A64" s="11" t="n">
        <x:f>MPS!A64</x:f>
        <x:v>46600</x:v>
      </x:c>
      <x:c r="B64" s="9" t="str">
        <x:f>MPS!B64</x:f>
        <x:v>WH-2</x:v>
      </x:c>
      <x:c r="C64" s="9" t="str">
        <x:f>MPS!C64</x:f>
        <x:v>DEMO-01</x:v>
      </x:c>
      <x:c r="D64" s="9" t="n">
        <x:f>MPS!J64</x:f>
        <x:v>10916</x:v>
      </x:c>
      <x:c r="E64" s="9" t="n">
        <x:f>Inputs!E7</x:f>
        <x:v>120</x:v>
      </x:c>
      <x:c r="F64" s="15" t="n">
        <x:f>D64/E64</x:f>
        <x:v>90.96666666666667</x:v>
      </x:c>
      <x:c r="G64" s="9" t="str">
        <x:f>MPS!M64</x:f>
        <x:v>ON TARGET</x:v>
      </x:c>
    </x:row>
    <x:row r="65" ht="25" customHeight="1">
      <x:c r="A65" s="11" t="n">
        <x:f>MPS!A65</x:f>
        <x:v>46600</x:v>
      </x:c>
      <x:c r="B65" s="9" t="str">
        <x:f>MPS!B65</x:f>
        <x:v>WH-1</x:v>
      </x:c>
      <x:c r="C65" s="9" t="str">
        <x:f>MPS!C65</x:f>
        <x:v>DEMO-02</x:v>
      </x:c>
      <x:c r="D65" s="9" t="n">
        <x:f>MPS!J65</x:f>
        <x:v>10535</x:v>
      </x:c>
      <x:c r="E65" s="9" t="n">
        <x:f>Inputs!E8</x:f>
        <x:v>100</x:v>
      </x:c>
      <x:c r="F65" s="15" t="n">
        <x:f>D65/E65</x:f>
        <x:v>105.35</x:v>
      </x:c>
      <x:c r="G65" s="9" t="str">
        <x:f>MPS!M65</x:f>
        <x:v>ON TARGET</x:v>
      </x:c>
    </x:row>
    <x:row r="66" ht="25" customHeight="1">
      <x:c r="A66" s="11" t="n">
        <x:f>MPS!A66</x:f>
        <x:v>46600</x:v>
      </x:c>
      <x:c r="B66" s="9" t="str">
        <x:f>MPS!B66</x:f>
        <x:v>WH-2</x:v>
      </x:c>
      <x:c r="C66" s="9" t="str">
        <x:f>MPS!C66</x:f>
        <x:v>DEMO-02</x:v>
      </x:c>
      <x:c r="D66" s="9" t="n">
        <x:f>MPS!J66</x:f>
        <x:v>12566</x:v>
      </x:c>
      <x:c r="E66" s="9" t="n">
        <x:f>Inputs!E8</x:f>
        <x:v>100</x:v>
      </x:c>
      <x:c r="F66" s="15" t="n">
        <x:f>D66/E66</x:f>
        <x:v>125.66</x:v>
      </x:c>
      <x:c r="G66" s="9" t="str">
        <x:f>MPS!M66</x:f>
        <x:v>ON TARGET</x:v>
      </x:c>
    </x:row>
    <x:row r="67" ht="25" customHeight="1">
      <x:c r="A67" s="11" t="n">
        <x:f>MPS!A67</x:f>
        <x:v>46600</x:v>
      </x:c>
      <x:c r="B67" s="9" t="str">
        <x:f>MPS!B67</x:f>
        <x:v>WH-1</x:v>
      </x:c>
      <x:c r="C67" s="9" t="str">
        <x:f>MPS!C67</x:f>
        <x:v>DEMO-03</x:v>
      </x:c>
      <x:c r="D67" s="9" t="n">
        <x:f>MPS!J67</x:f>
        <x:v>12184</x:v>
      </x:c>
      <x:c r="E67" s="9" t="n">
        <x:f>Inputs!E9</x:f>
        <x:v>80</x:v>
      </x:c>
      <x:c r="F67" s="15" t="n">
        <x:f>D67/E67</x:f>
        <x:v>152.3</x:v>
      </x:c>
      <x:c r="G67" s="9" t="str">
        <x:f>MPS!M67</x:f>
        <x:v>ON TARGET</x:v>
      </x:c>
    </x:row>
    <x:row r="68" ht="25" customHeight="1">
      <x:c r="A68" s="11" t="n">
        <x:f>MPS!A68</x:f>
        <x:v>46600</x:v>
      </x:c>
      <x:c r="B68" s="9" t="str">
        <x:f>MPS!B68</x:f>
        <x:v>WH-2</x:v>
      </x:c>
      <x:c r="C68" s="9" t="str">
        <x:f>MPS!C68</x:f>
        <x:v>DEMO-03</x:v>
      </x:c>
      <x:c r="D68" s="9" t="n">
        <x:f>MPS!J68</x:f>
        <x:v>14215</x:v>
      </x:c>
      <x:c r="E68" s="9" t="n">
        <x:f>Inputs!E9</x:f>
        <x:v>80</x:v>
      </x:c>
      <x:c r="F68" s="15" t="n">
        <x:f>D68/E68</x:f>
        <x:v>177.6875</x:v>
      </x:c>
      <x:c r="G68" s="9" t="str">
        <x:f>MPS!M68</x:f>
        <x:v>ON TARGET</x:v>
      </x:c>
    </x:row>
    <x:row r="69" ht="25" customHeight="1">
      <x:c r="A69" s="11" t="n">
        <x:f>MPS!A69</x:f>
        <x:v>46600</x:v>
      </x:c>
      <x:c r="B69" s="9" t="str">
        <x:f>MPS!B69</x:f>
        <x:v>WH-1</x:v>
      </x:c>
      <x:c r="C69" s="9" t="str">
        <x:f>MPS!C69</x:f>
        <x:v>DEMO-04</x:v>
      </x:c>
      <x:c r="D69" s="9" t="n">
        <x:f>MPS!J69</x:f>
        <x:v>13571</x:v>
      </x:c>
      <x:c r="E69" s="9" t="n">
        <x:f>Inputs!E10</x:f>
        <x:v>90</x:v>
      </x:c>
      <x:c r="F69" s="15" t="n">
        <x:f>D69/E69</x:f>
        <x:v>150.7888888888889</x:v>
      </x:c>
      <x:c r="G69" s="9" t="str">
        <x:f>MPS!M69</x:f>
        <x:v>ON TARGET</x:v>
      </x:c>
    </x:row>
    <x:row r="70" ht="25" customHeight="1">
      <x:c r="A70" s="11" t="n">
        <x:f>MPS!A70</x:f>
        <x:v>46600</x:v>
      </x:c>
      <x:c r="B70" s="9" t="str">
        <x:f>MPS!B70</x:f>
        <x:v>WH-2</x:v>
      </x:c>
      <x:c r="C70" s="9" t="str">
        <x:f>MPS!C70</x:f>
        <x:v>DEMO-04</x:v>
      </x:c>
      <x:c r="D70" s="9" t="n">
        <x:f>MPS!J70</x:f>
        <x:v>15563</x:v>
      </x:c>
      <x:c r="E70" s="9" t="n">
        <x:f>Inputs!E10</x:f>
        <x:v>90</x:v>
      </x:c>
      <x:c r="F70" s="15" t="n">
        <x:f>D70/E70</x:f>
        <x:v>172.92222222222222</x:v>
      </x:c>
      <x:c r="G70" s="9" t="str">
        <x:f>MPS!M70</x:f>
        <x:v>ON TARGET</x:v>
      </x:c>
    </x:row>
    <x:row r="71" ht="25" customHeight="1">
      <x:c r="A71" s="11" t="n">
        <x:f>MPS!A71</x:f>
        <x:v>46631</x:v>
      </x:c>
      <x:c r="B71" s="9" t="str">
        <x:f>MPS!B71</x:f>
        <x:v>WH-1</x:v>
      </x:c>
      <x:c r="C71" s="9" t="str">
        <x:f>MPS!C71</x:f>
        <x:v>DEMO-01</x:v>
      </x:c>
      <x:c r="D71" s="9" t="n">
        <x:f>MPS!J71</x:f>
        <x:v>9129</x:v>
      </x:c>
      <x:c r="E71" s="9" t="n">
        <x:f>Inputs!E7</x:f>
        <x:v>120</x:v>
      </x:c>
      <x:c r="F71" s="15" t="n">
        <x:f>D71/E71</x:f>
        <x:v>76.075</x:v>
      </x:c>
      <x:c r="G71" s="9" t="str">
        <x:f>MPS!M71</x:f>
        <x:v>ON TARGET</x:v>
      </x:c>
    </x:row>
    <x:row r="72" ht="25" customHeight="1">
      <x:c r="A72" s="11" t="n">
        <x:f>MPS!A72</x:f>
        <x:v>46631</x:v>
      </x:c>
      <x:c r="B72" s="9" t="str">
        <x:f>MPS!B72</x:f>
        <x:v>WH-2</x:v>
      </x:c>
      <x:c r="C72" s="9" t="str">
        <x:f>MPS!C72</x:f>
        <x:v>DEMO-01</x:v>
      </x:c>
      <x:c r="D72" s="9" t="n">
        <x:f>MPS!J72</x:f>
        <x:v>11216</x:v>
      </x:c>
      <x:c r="E72" s="9" t="n">
        <x:f>Inputs!E7</x:f>
        <x:v>120</x:v>
      </x:c>
      <x:c r="F72" s="15" t="n">
        <x:f>D72/E72</x:f>
        <x:v>93.46666666666667</x:v>
      </x:c>
      <x:c r="G72" s="9" t="str">
        <x:f>MPS!M72</x:f>
        <x:v>ON TARGET</x:v>
      </x:c>
    </x:row>
    <x:row r="73" ht="25" customHeight="1">
      <x:c r="A73" s="11" t="n">
        <x:f>MPS!A73</x:f>
        <x:v>46631</x:v>
      </x:c>
      <x:c r="B73" s="9" t="str">
        <x:f>MPS!B73</x:f>
        <x:v>WH-1</x:v>
      </x:c>
      <x:c r="C73" s="9" t="str">
        <x:f>MPS!C73</x:f>
        <x:v>DEMO-02</x:v>
      </x:c>
      <x:c r="D73" s="9" t="n">
        <x:f>MPS!J73</x:f>
        <x:v>10825</x:v>
      </x:c>
      <x:c r="E73" s="9" t="n">
        <x:f>Inputs!E8</x:f>
        <x:v>100</x:v>
      </x:c>
      <x:c r="F73" s="15" t="n">
        <x:f>D73/E73</x:f>
        <x:v>108.25</x:v>
      </x:c>
      <x:c r="G73" s="9" t="str">
        <x:f>MPS!M73</x:f>
        <x:v>ON TARGET</x:v>
      </x:c>
    </x:row>
    <x:row r="74" ht="25" customHeight="1">
      <x:c r="A74" s="11" t="n">
        <x:f>MPS!A74</x:f>
        <x:v>46631</x:v>
      </x:c>
      <x:c r="B74" s="9" t="str">
        <x:f>MPS!B74</x:f>
        <x:v>WH-2</x:v>
      </x:c>
      <x:c r="C74" s="9" t="str">
        <x:f>MPS!C74</x:f>
        <x:v>DEMO-02</x:v>
      </x:c>
      <x:c r="D74" s="9" t="n">
        <x:f>MPS!J74</x:f>
        <x:v>12912</x:v>
      </x:c>
      <x:c r="E74" s="9" t="n">
        <x:f>Inputs!E8</x:f>
        <x:v>100</x:v>
      </x:c>
      <x:c r="F74" s="15" t="n">
        <x:f>D74/E74</x:f>
        <x:v>129.12</x:v>
      </x:c>
      <x:c r="G74" s="9" t="str">
        <x:f>MPS!M74</x:f>
        <x:v>ON TARGET</x:v>
      </x:c>
    </x:row>
    <x:row r="75" ht="25" customHeight="1">
      <x:c r="A75" s="11" t="n">
        <x:f>MPS!A75</x:f>
        <x:v>46631</x:v>
      </x:c>
      <x:c r="B75" s="9" t="str">
        <x:f>MPS!B75</x:f>
        <x:v>WH-1</x:v>
      </x:c>
      <x:c r="C75" s="9" t="str">
        <x:f>MPS!C75</x:f>
        <x:v>DEMO-03</x:v>
      </x:c>
      <x:c r="D75" s="9" t="n">
        <x:f>MPS!J75</x:f>
        <x:v>12521</x:v>
      </x:c>
      <x:c r="E75" s="9" t="n">
        <x:f>Inputs!E9</x:f>
        <x:v>80</x:v>
      </x:c>
      <x:c r="F75" s="15" t="n">
        <x:f>D75/E75</x:f>
        <x:v>156.5125</x:v>
      </x:c>
      <x:c r="G75" s="9" t="str">
        <x:f>MPS!M75</x:f>
        <x:v>ON TARGET</x:v>
      </x:c>
    </x:row>
    <x:row r="76" ht="25" customHeight="1">
      <x:c r="A76" s="11" t="n">
        <x:f>MPS!A76</x:f>
        <x:v>46631</x:v>
      </x:c>
      <x:c r="B76" s="9" t="str">
        <x:f>MPS!B76</x:f>
        <x:v>WH-2</x:v>
      </x:c>
      <x:c r="C76" s="9" t="str">
        <x:f>MPS!C76</x:f>
        <x:v>DEMO-03</x:v>
      </x:c>
      <x:c r="D76" s="9" t="n">
        <x:f>MPS!J76</x:f>
        <x:v>14608</x:v>
      </x:c>
      <x:c r="E76" s="9" t="n">
        <x:f>Inputs!E9</x:f>
        <x:v>80</x:v>
      </x:c>
      <x:c r="F76" s="15" t="n">
        <x:f>D76/E76</x:f>
        <x:v>182.6</x:v>
      </x:c>
      <x:c r="G76" s="9" t="str">
        <x:f>MPS!M76</x:f>
        <x:v>ON TARGET</x:v>
      </x:c>
    </x:row>
    <x:row r="77" ht="25" customHeight="1">
      <x:c r="A77" s="11" t="n">
        <x:f>MPS!A77</x:f>
        <x:v>46631</x:v>
      </x:c>
      <x:c r="B77" s="9" t="str">
        <x:f>MPS!B77</x:f>
        <x:v>WH-1</x:v>
      </x:c>
      <x:c r="C77" s="9" t="str">
        <x:f>MPS!C77</x:f>
        <x:v>DEMO-04</x:v>
      </x:c>
      <x:c r="D77" s="9" t="n">
        <x:f>MPS!J77</x:f>
        <x:v>13952</x:v>
      </x:c>
      <x:c r="E77" s="9" t="n">
        <x:f>Inputs!E10</x:f>
        <x:v>90</x:v>
      </x:c>
      <x:c r="F77" s="15" t="n">
        <x:f>D77/E77</x:f>
        <x:v>155.0222222222222</x:v>
      </x:c>
      <x:c r="G77" s="9" t="str">
        <x:f>MPS!M77</x:f>
        <x:v>ON TARGET</x:v>
      </x:c>
    </x:row>
    <x:row r="78" ht="25" customHeight="1">
      <x:c r="A78" s="11" t="n">
        <x:f>MPS!A78</x:f>
        <x:v>46631</x:v>
      </x:c>
      <x:c r="B78" s="9" t="str">
        <x:f>MPS!B78</x:f>
        <x:v>WH-2</x:v>
      </x:c>
      <x:c r="C78" s="9" t="str">
        <x:f>MPS!C78</x:f>
        <x:v>DEMO-04</x:v>
      </x:c>
      <x:c r="D78" s="9" t="n">
        <x:f>MPS!J78</x:f>
        <x:v>16000</x:v>
      </x:c>
      <x:c r="E78" s="9" t="n">
        <x:f>Inputs!E10</x:f>
        <x:v>90</x:v>
      </x:c>
      <x:c r="F78" s="15" t="n">
        <x:f>D78/E78</x:f>
        <x:v>177.77777777777777</x:v>
      </x:c>
      <x:c r="G78" s="9" t="str">
        <x:f>MPS!M78</x:f>
        <x:v>ON TARGET</x:v>
      </x:c>
    </x:row>
    <x:row r="79" ht="25" customHeight="1">
      <x:c r="A79" s="11" t="n">
        <x:f>MPS!A79</x:f>
        <x:v>46661</x:v>
      </x:c>
      <x:c r="B79" s="9" t="str">
        <x:f>MPS!B79</x:f>
        <x:v>WH-1</x:v>
      </x:c>
      <x:c r="C79" s="9" t="str">
        <x:f>MPS!C79</x:f>
        <x:v>DEMO-01</x:v>
      </x:c>
      <x:c r="D79" s="9" t="n">
        <x:f>MPS!J79</x:f>
        <x:v>9375</x:v>
      </x:c>
      <x:c r="E79" s="9" t="n">
        <x:f>Inputs!E7</x:f>
        <x:v>120</x:v>
      </x:c>
      <x:c r="F79" s="15" t="n">
        <x:f>D79/E79</x:f>
        <x:v>78.125</x:v>
      </x:c>
      <x:c r="G79" s="9" t="str">
        <x:f>MPS!M79</x:f>
        <x:v>ON TARGET</x:v>
      </x:c>
    </x:row>
    <x:row r="80" ht="25" customHeight="1">
      <x:c r="A80" s="11" t="n">
        <x:f>MPS!A80</x:f>
        <x:v>46661</x:v>
      </x:c>
      <x:c r="B80" s="9" t="str">
        <x:f>MPS!B80</x:f>
        <x:v>WH-2</x:v>
      </x:c>
      <x:c r="C80" s="9" t="str">
        <x:f>MPS!C80</x:f>
        <x:v>DEMO-01</x:v>
      </x:c>
      <x:c r="D80" s="9" t="n">
        <x:f>MPS!J80</x:f>
        <x:v>11518</x:v>
      </x:c>
      <x:c r="E80" s="9" t="n">
        <x:f>Inputs!E7</x:f>
        <x:v>120</x:v>
      </x:c>
      <x:c r="F80" s="15" t="n">
        <x:f>D80/E80</x:f>
        <x:v>95.98333333333333</x:v>
      </x:c>
      <x:c r="G80" s="9" t="str">
        <x:f>MPS!M80</x:f>
        <x:v>ON TARGET</x:v>
      </x:c>
    </x:row>
    <x:row r="81" ht="25" customHeight="1">
      <x:c r="A81" s="11" t="n">
        <x:f>MPS!A81</x:f>
        <x:v>46661</x:v>
      </x:c>
      <x:c r="B81" s="9" t="str">
        <x:f>MPS!B81</x:f>
        <x:v>WH-1</x:v>
      </x:c>
      <x:c r="C81" s="9" t="str">
        <x:f>MPS!C81</x:f>
        <x:v>DEMO-02</x:v>
      </x:c>
      <x:c r="D81" s="9" t="n">
        <x:f>MPS!J81</x:f>
        <x:v>11117</x:v>
      </x:c>
      <x:c r="E81" s="9" t="n">
        <x:f>Inputs!E8</x:f>
        <x:v>100</x:v>
      </x:c>
      <x:c r="F81" s="15" t="n">
        <x:f>D81/E81</x:f>
        <x:v>111.17</x:v>
      </x:c>
      <x:c r="G81" s="9" t="str">
        <x:f>MPS!M81</x:f>
        <x:v>ON TARGET</x:v>
      </x:c>
    </x:row>
    <x:row r="82" ht="25" customHeight="1">
      <x:c r="A82" s="11" t="n">
        <x:f>MPS!A82</x:f>
        <x:v>46661</x:v>
      </x:c>
      <x:c r="B82" s="9" t="str">
        <x:f>MPS!B82</x:f>
        <x:v>WH-2</x:v>
      </x:c>
      <x:c r="C82" s="9" t="str">
        <x:f>MPS!C82</x:f>
        <x:v>DEMO-02</x:v>
      </x:c>
      <x:c r="D82" s="9" t="n">
        <x:f>MPS!J82</x:f>
        <x:v>13260</x:v>
      </x:c>
      <x:c r="E82" s="9" t="n">
        <x:f>Inputs!E8</x:f>
        <x:v>100</x:v>
      </x:c>
      <x:c r="F82" s="15" t="n">
        <x:f>D82/E82</x:f>
        <x:v>132.6</x:v>
      </x:c>
      <x:c r="G82" s="9" t="str">
        <x:f>MPS!M82</x:f>
        <x:v>ON TARGET</x:v>
      </x:c>
    </x:row>
    <x:row r="83" ht="25" customHeight="1">
      <x:c r="A83" s="11" t="n">
        <x:f>MPS!A83</x:f>
        <x:v>46661</x:v>
      </x:c>
      <x:c r="B83" s="9" t="str">
        <x:f>MPS!B83</x:f>
        <x:v>WH-1</x:v>
      </x:c>
      <x:c r="C83" s="9" t="str">
        <x:f>MPS!C83</x:f>
        <x:v>DEMO-03</x:v>
      </x:c>
      <x:c r="D83" s="9" t="n">
        <x:f>MPS!J83</x:f>
        <x:v>12857</x:v>
      </x:c>
      <x:c r="E83" s="9" t="n">
        <x:f>Inputs!E9</x:f>
        <x:v>80</x:v>
      </x:c>
      <x:c r="F83" s="15" t="n">
        <x:f>D83/E83</x:f>
        <x:v>160.7125</x:v>
      </x:c>
      <x:c r="G83" s="9" t="str">
        <x:f>MPS!M83</x:f>
        <x:v>ON TARGET</x:v>
      </x:c>
    </x:row>
    <x:row r="84" ht="25" customHeight="1">
      <x:c r="A84" s="11" t="n">
        <x:f>MPS!A84</x:f>
        <x:v>46661</x:v>
      </x:c>
      <x:c r="B84" s="9" t="str">
        <x:f>MPS!B84</x:f>
        <x:v>WH-2</x:v>
      </x:c>
      <x:c r="C84" s="9" t="str">
        <x:f>MPS!C84</x:f>
        <x:v>DEMO-03</x:v>
      </x:c>
      <x:c r="D84" s="9" t="n">
        <x:f>MPS!J84</x:f>
        <x:v>15000</x:v>
      </x:c>
      <x:c r="E84" s="9" t="n">
        <x:f>Inputs!E9</x:f>
        <x:v>80</x:v>
      </x:c>
      <x:c r="F84" s="15" t="n">
        <x:f>D84/E84</x:f>
        <x:v>187.5</x:v>
      </x:c>
      <x:c r="G84" s="9" t="str">
        <x:f>MPS!M84</x:f>
        <x:v>ON TARGET</x:v>
      </x:c>
    </x:row>
    <x:row r="85" ht="25" customHeight="1">
      <x:c r="A85" s="11" t="n">
        <x:f>MPS!A85</x:f>
        <x:v>46661</x:v>
      </x:c>
      <x:c r="B85" s="9" t="str">
        <x:f>MPS!B85</x:f>
        <x:v>WH-1</x:v>
      </x:c>
      <x:c r="C85" s="9" t="str">
        <x:f>MPS!C85</x:f>
        <x:v>DEMO-04</x:v>
      </x:c>
      <x:c r="D85" s="9" t="n">
        <x:f>MPS!J85</x:f>
        <x:v>14334</x:v>
      </x:c>
      <x:c r="E85" s="9" t="n">
        <x:f>Inputs!E10</x:f>
        <x:v>90</x:v>
      </x:c>
      <x:c r="F85" s="15" t="n">
        <x:f>D85/E85</x:f>
        <x:v>159.26666666666668</x:v>
      </x:c>
      <x:c r="G85" s="9" t="str">
        <x:f>MPS!M85</x:f>
        <x:v>ON TARGET</x:v>
      </x:c>
    </x:row>
    <x:row r="86" ht="25" customHeight="1">
      <x:c r="A86" s="11" t="n">
        <x:f>MPS!A86</x:f>
        <x:v>46661</x:v>
      </x:c>
      <x:c r="B86" s="9" t="str">
        <x:f>MPS!B86</x:f>
        <x:v>WH-2</x:v>
      </x:c>
      <x:c r="C86" s="9" t="str">
        <x:f>MPS!C86</x:f>
        <x:v>DEMO-04</x:v>
      </x:c>
      <x:c r="D86" s="9" t="n">
        <x:f>MPS!J86</x:f>
        <x:v>16438</x:v>
      </x:c>
      <x:c r="E86" s="9" t="n">
        <x:f>Inputs!E10</x:f>
        <x:v>90</x:v>
      </x:c>
      <x:c r="F86" s="15" t="n">
        <x:f>D86/E86</x:f>
        <x:v>182.64444444444445</x:v>
      </x:c>
      <x:c r="G86" s="9" t="str">
        <x:f>MPS!M86</x:f>
        <x:v>ON TARGET</x:v>
      </x:c>
    </x:row>
    <x:row r="87" ht="25" customHeight="1">
      <x:c r="A87" s="11" t="n">
        <x:f>MPS!A87</x:f>
        <x:v>46692</x:v>
      </x:c>
      <x:c r="B87" s="9" t="str">
        <x:f>MPS!B87</x:f>
        <x:v>WH-1</x:v>
      </x:c>
      <x:c r="C87" s="9" t="str">
        <x:f>MPS!C87</x:f>
        <x:v>DEMO-01</x:v>
      </x:c>
      <x:c r="D87" s="9" t="n">
        <x:f>MPS!J87</x:f>
        <x:v>9620</x:v>
      </x:c>
      <x:c r="E87" s="9" t="n">
        <x:f>Inputs!E7</x:f>
        <x:v>120</x:v>
      </x:c>
      <x:c r="F87" s="15" t="n">
        <x:f>D87/E87</x:f>
        <x:v>80.16666666666667</x:v>
      </x:c>
      <x:c r="G87" s="9" t="str">
        <x:f>MPS!M87</x:f>
        <x:v>ON TARGET</x:v>
      </x:c>
    </x:row>
    <x:row r="88" ht="25" customHeight="1">
      <x:c r="A88" s="11" t="n">
        <x:f>MPS!A88</x:f>
        <x:v>46692</x:v>
      </x:c>
      <x:c r="B88" s="9" t="str">
        <x:f>MPS!B88</x:f>
        <x:v>WH-2</x:v>
      </x:c>
      <x:c r="C88" s="9" t="str">
        <x:f>MPS!C88</x:f>
        <x:v>DEMO-01</x:v>
      </x:c>
      <x:c r="D88" s="9" t="n">
        <x:f>MPS!J88</x:f>
        <x:v>11818</x:v>
      </x:c>
      <x:c r="E88" s="9" t="n">
        <x:f>Inputs!E7</x:f>
        <x:v>120</x:v>
      </x:c>
      <x:c r="F88" s="15" t="n">
        <x:f>D88/E88</x:f>
        <x:v>98.48333333333333</x:v>
      </x:c>
      <x:c r="G88" s="9" t="str">
        <x:f>MPS!M88</x:f>
        <x:v>ON TARGET</x:v>
      </x:c>
    </x:row>
    <x:row r="89" ht="25" customHeight="1">
      <x:c r="A89" s="11" t="n">
        <x:f>MPS!A89</x:f>
        <x:v>46692</x:v>
      </x:c>
      <x:c r="B89" s="9" t="str">
        <x:f>MPS!B89</x:f>
        <x:v>WH-1</x:v>
      </x:c>
      <x:c r="C89" s="9" t="str">
        <x:f>MPS!C89</x:f>
        <x:v>DEMO-02</x:v>
      </x:c>
      <x:c r="D89" s="9" t="n">
        <x:f>MPS!J89</x:f>
        <x:v>11406</x:v>
      </x:c>
      <x:c r="E89" s="9" t="n">
        <x:f>Inputs!E8</x:f>
        <x:v>100</x:v>
      </x:c>
      <x:c r="F89" s="15" t="n">
        <x:f>D89/E89</x:f>
        <x:v>114.06</x:v>
      </x:c>
      <x:c r="G89" s="9" t="str">
        <x:f>MPS!M89</x:f>
        <x:v>ON TARGET</x:v>
      </x:c>
    </x:row>
    <x:row r="90" ht="25" customHeight="1">
      <x:c r="A90" s="11" t="n">
        <x:f>MPS!A90</x:f>
        <x:v>46692</x:v>
      </x:c>
      <x:c r="B90" s="9" t="str">
        <x:f>MPS!B90</x:f>
        <x:v>WH-2</x:v>
      </x:c>
      <x:c r="C90" s="9" t="str">
        <x:f>MPS!C90</x:f>
        <x:v>DEMO-02</x:v>
      </x:c>
      <x:c r="D90" s="9" t="n">
        <x:f>MPS!J90</x:f>
        <x:v>13604</x:v>
      </x:c>
      <x:c r="E90" s="9" t="n">
        <x:f>Inputs!E8</x:f>
        <x:v>100</x:v>
      </x:c>
      <x:c r="F90" s="15" t="n">
        <x:f>D90/E90</x:f>
        <x:v>136.04</x:v>
      </x:c>
      <x:c r="G90" s="9" t="str">
        <x:f>MPS!M90</x:f>
        <x:v>ON TARGET</x:v>
      </x:c>
    </x:row>
    <x:row r="91" ht="25" customHeight="1">
      <x:c r="A91" s="11" t="n">
        <x:f>MPS!A91</x:f>
        <x:v>46692</x:v>
      </x:c>
      <x:c r="B91" s="9" t="str">
        <x:f>MPS!B91</x:f>
        <x:v>WH-1</x:v>
      </x:c>
      <x:c r="C91" s="9" t="str">
        <x:f>MPS!C91</x:f>
        <x:v>DEMO-03</x:v>
      </x:c>
      <x:c r="D91" s="9" t="n">
        <x:f>MPS!J91</x:f>
        <x:v>13193</x:v>
      </x:c>
      <x:c r="E91" s="9" t="n">
        <x:f>Inputs!E9</x:f>
        <x:v>80</x:v>
      </x:c>
      <x:c r="F91" s="15" t="n">
        <x:f>D91/E91</x:f>
        <x:v>164.9125</x:v>
      </x:c>
      <x:c r="G91" s="9" t="str">
        <x:f>MPS!M91</x:f>
        <x:v>ON TARGET</x:v>
      </x:c>
    </x:row>
    <x:row r="92" ht="25" customHeight="1">
      <x:c r="A92" s="11" t="n">
        <x:f>MPS!A92</x:f>
        <x:v>46692</x:v>
      </x:c>
      <x:c r="B92" s="9" t="str">
        <x:f>MPS!B92</x:f>
        <x:v>WH-2</x:v>
      </x:c>
      <x:c r="C92" s="9" t="str">
        <x:f>MPS!C92</x:f>
        <x:v>DEMO-03</x:v>
      </x:c>
      <x:c r="D92" s="9" t="n">
        <x:f>MPS!J92</x:f>
        <x:v>15391</x:v>
      </x:c>
      <x:c r="E92" s="9" t="n">
        <x:f>Inputs!E9</x:f>
        <x:v>80</x:v>
      </x:c>
      <x:c r="F92" s="15" t="n">
        <x:f>D92/E92</x:f>
        <x:v>192.3875</x:v>
      </x:c>
      <x:c r="G92" s="9" t="str">
        <x:f>MPS!M92</x:f>
        <x:v>ON TARGET</x:v>
      </x:c>
    </x:row>
    <x:row r="93" ht="25" customHeight="1">
      <x:c r="A93" s="11" t="n">
        <x:f>MPS!A93</x:f>
        <x:v>46692</x:v>
      </x:c>
      <x:c r="B93" s="9" t="str">
        <x:f>MPS!B93</x:f>
        <x:v>WH-1</x:v>
      </x:c>
      <x:c r="C93" s="9" t="str">
        <x:f>MPS!C93</x:f>
        <x:v>DEMO-04</x:v>
      </x:c>
      <x:c r="D93" s="9" t="n">
        <x:f>MPS!J93</x:f>
        <x:v>14715</x:v>
      </x:c>
      <x:c r="E93" s="9" t="n">
        <x:f>Inputs!E10</x:f>
        <x:v>90</x:v>
      </x:c>
      <x:c r="F93" s="15" t="n">
        <x:f>D93/E93</x:f>
        <x:v>163.5</x:v>
      </x:c>
      <x:c r="G93" s="9" t="str">
        <x:f>MPS!M93</x:f>
        <x:v>ON TARGET</x:v>
      </x:c>
    </x:row>
    <x:row r="94" ht="25" customHeight="1">
      <x:c r="A94" s="11" t="n">
        <x:f>MPS!A94</x:f>
        <x:v>46692</x:v>
      </x:c>
      <x:c r="B94" s="9" t="str">
        <x:f>MPS!B94</x:f>
        <x:v>WH-2</x:v>
      </x:c>
      <x:c r="C94" s="9" t="str">
        <x:f>MPS!C94</x:f>
        <x:v>DEMO-04</x:v>
      </x:c>
      <x:c r="D94" s="9" t="n">
        <x:f>MPS!J94</x:f>
        <x:v>16875</x:v>
      </x:c>
      <x:c r="E94" s="9" t="n">
        <x:f>Inputs!E10</x:f>
        <x:v>90</x:v>
      </x:c>
      <x:c r="F94" s="15" t="n">
        <x:f>D94/E94</x:f>
        <x:v>187.5</x:v>
      </x:c>
      <x:c r="G94" s="9" t="str">
        <x:f>MPS!M94</x:f>
        <x:v>ON TARGET</x:v>
      </x:c>
    </x:row>
    <x:row r="95" ht="25" customHeight="1">
      <x:c r="A95" s="11" t="n">
        <x:f>MPS!A95</x:f>
        <x:v>46722</x:v>
      </x:c>
      <x:c r="B95" s="9" t="str">
        <x:f>MPS!B95</x:f>
        <x:v>WH-1</x:v>
      </x:c>
      <x:c r="C95" s="9" t="str">
        <x:f>MPS!C95</x:f>
        <x:v>DEMO-01</x:v>
      </x:c>
      <x:c r="D95" s="9" t="n">
        <x:f>MPS!J95</x:f>
        <x:v>9865</x:v>
      </x:c>
      <x:c r="E95" s="9" t="n">
        <x:f>Inputs!E7</x:f>
        <x:v>120</x:v>
      </x:c>
      <x:c r="F95" s="15" t="n">
        <x:f>D95/E95</x:f>
        <x:v>82.20833333333333</x:v>
      </x:c>
      <x:c r="G95" s="9" t="str">
        <x:f>MPS!M95</x:f>
        <x:v>ON TARGET</x:v>
      </x:c>
    </x:row>
    <x:row r="96" ht="25" customHeight="1">
      <x:c r="A96" s="11" t="n">
        <x:f>MPS!A96</x:f>
        <x:v>46722</x:v>
      </x:c>
      <x:c r="B96" s="9" t="str">
        <x:f>MPS!B96</x:f>
        <x:v>WH-2</x:v>
      </x:c>
      <x:c r="C96" s="9" t="str">
        <x:f>MPS!C96</x:f>
        <x:v>DEMO-01</x:v>
      </x:c>
      <x:c r="D96" s="9" t="n">
        <x:f>MPS!J96</x:f>
        <x:v>12120</x:v>
      </x:c>
      <x:c r="E96" s="9" t="n">
        <x:f>Inputs!E7</x:f>
        <x:v>120</x:v>
      </x:c>
      <x:c r="F96" s="15" t="n">
        <x:f>D96/E96</x:f>
        <x:v>101</x:v>
      </x:c>
      <x:c r="G96" s="9" t="str">
        <x:f>MPS!M96</x:f>
        <x:v>ON TARGET</x:v>
      </x:c>
    </x:row>
    <x:row r="97" ht="25" customHeight="1">
      <x:c r="A97" s="11" t="n">
        <x:f>MPS!A97</x:f>
        <x:v>46722</x:v>
      </x:c>
      <x:c r="B97" s="9" t="str">
        <x:f>MPS!B97</x:f>
        <x:v>WH-1</x:v>
      </x:c>
      <x:c r="C97" s="9" t="str">
        <x:f>MPS!C97</x:f>
        <x:v>DEMO-02</x:v>
      </x:c>
      <x:c r="D97" s="9" t="n">
        <x:f>MPS!J97</x:f>
        <x:v>11697</x:v>
      </x:c>
      <x:c r="E97" s="9" t="n">
        <x:f>Inputs!E8</x:f>
        <x:v>100</x:v>
      </x:c>
      <x:c r="F97" s="15" t="n">
        <x:f>D97/E97</x:f>
        <x:v>116.97</x:v>
      </x:c>
      <x:c r="G97" s="9" t="str">
        <x:f>MPS!M97</x:f>
        <x:v>ON TARGET</x:v>
      </x:c>
    </x:row>
    <x:row r="98" ht="25" customHeight="1">
      <x:c r="A98" s="11" t="n">
        <x:f>MPS!A98</x:f>
        <x:v>46722</x:v>
      </x:c>
      <x:c r="B98" s="9" t="str">
        <x:f>MPS!B98</x:f>
        <x:v>WH-2</x:v>
      </x:c>
      <x:c r="C98" s="9" t="str">
        <x:f>MPS!C98</x:f>
        <x:v>DEMO-02</x:v>
      </x:c>
      <x:c r="D98" s="9" t="n">
        <x:f>MPS!J98</x:f>
        <x:v>13953</x:v>
      </x:c>
      <x:c r="E98" s="9" t="n">
        <x:f>Inputs!E8</x:f>
        <x:v>100</x:v>
      </x:c>
      <x:c r="F98" s="15" t="n">
        <x:f>D98/E98</x:f>
        <x:v>139.53</x:v>
      </x:c>
      <x:c r="G98" s="9" t="str">
        <x:f>MPS!M98</x:f>
        <x:v>ON TARGET</x:v>
      </x:c>
    </x:row>
    <x:row r="99" ht="25" customHeight="1">
      <x:c r="A99" s="11" t="n">
        <x:f>MPS!A99</x:f>
        <x:v>46722</x:v>
      </x:c>
      <x:c r="B99" s="9" t="str">
        <x:f>MPS!B99</x:f>
        <x:v>WH-1</x:v>
      </x:c>
      <x:c r="C99" s="9" t="str">
        <x:f>MPS!C99</x:f>
        <x:v>DEMO-03</x:v>
      </x:c>
      <x:c r="D99" s="9" t="n">
        <x:f>MPS!J99</x:f>
        <x:v>13529</x:v>
      </x:c>
      <x:c r="E99" s="9" t="n">
        <x:f>Inputs!E9</x:f>
        <x:v>80</x:v>
      </x:c>
      <x:c r="F99" s="15" t="n">
        <x:f>D99/E99</x:f>
        <x:v>169.1125</x:v>
      </x:c>
      <x:c r="G99" s="9" t="str">
        <x:f>MPS!M99</x:f>
        <x:v>ON TARGET</x:v>
      </x:c>
    </x:row>
    <x:row r="100" ht="25" customHeight="1">
      <x:c r="A100" s="11" t="n">
        <x:f>MPS!A100</x:f>
        <x:v>46722</x:v>
      </x:c>
      <x:c r="B100" s="9" t="str">
        <x:f>MPS!B100</x:f>
        <x:v>WH-2</x:v>
      </x:c>
      <x:c r="C100" s="9" t="str">
        <x:f>MPS!C100</x:f>
        <x:v>DEMO-03</x:v>
      </x:c>
      <x:c r="D100" s="9" t="n">
        <x:f>MPS!J100</x:f>
        <x:v>15784</x:v>
      </x:c>
      <x:c r="E100" s="9" t="n">
        <x:f>Inputs!E9</x:f>
        <x:v>80</x:v>
      </x:c>
      <x:c r="F100" s="15" t="n">
        <x:f>D100/E100</x:f>
        <x:v>197.3</x:v>
      </x:c>
      <x:c r="G100" s="9" t="str">
        <x:f>MPS!M100</x:f>
        <x:v>ON TARGET</x:v>
      </x:c>
    </x:row>
    <x:row r="101" ht="25" customHeight="1">
      <x:c r="A101" s="11" t="n">
        <x:f>MPS!A101</x:f>
        <x:v>46722</x:v>
      </x:c>
      <x:c r="B101" s="9" t="str">
        <x:f>MPS!B101</x:f>
        <x:v>WH-1</x:v>
      </x:c>
      <x:c r="C101" s="9" t="str">
        <x:f>MPS!C101</x:f>
        <x:v>DEMO-04</x:v>
      </x:c>
      <x:c r="D101" s="9" t="n">
        <x:f>MPS!J101</x:f>
        <x:v>15097</x:v>
      </x:c>
      <x:c r="E101" s="9" t="n">
        <x:f>Inputs!E10</x:f>
        <x:v>90</x:v>
      </x:c>
      <x:c r="F101" s="15" t="n">
        <x:f>D101/E101</x:f>
        <x:v>167.74444444444444</x:v>
      </x:c>
      <x:c r="G101" s="9" t="str">
        <x:f>MPS!M101</x:f>
        <x:v>ON TARGET</x:v>
      </x:c>
    </x:row>
    <x:row r="102" ht="25" customHeight="1">
      <x:c r="A102" s="11" t="n">
        <x:f>MPS!A102</x:f>
        <x:v>46722</x:v>
      </x:c>
      <x:c r="B102" s="9" t="str">
        <x:f>MPS!B102</x:f>
        <x:v>WH-2</x:v>
      </x:c>
      <x:c r="C102" s="9" t="str">
        <x:f>MPS!C102</x:f>
        <x:v>DEMO-04</x:v>
      </x:c>
      <x:c r="D102" s="9" t="n">
        <x:f>MPS!J102</x:f>
        <x:v>17313</x:v>
      </x:c>
      <x:c r="E102" s="9" t="n">
        <x:f>Inputs!E10</x:f>
        <x:v>90</x:v>
      </x:c>
      <x:c r="F102" s="15" t="n">
        <x:f>D102/E102</x:f>
        <x:v>192.36666666666667</x:v>
      </x:c>
      <x:c r="G102" s="9" t="str">
        <x:f>MPS!M102</x:f>
        <x:v>ON TARGET</x:v>
      </x:c>
    </x:row>
    <x:row r="103" ht="25" customHeight="1">
      <x:c r="A103" s="9"/>
      <x:c r="B103" s="9"/>
      <x:c r="C103" s="9"/>
      <x:c r="D103" s="9"/>
      <x:c r="E103" s="9"/>
      <x:c r="F103" s="9"/>
      <x:c r="G103" s="9"/>
    </x:row>
    <x:row r="104" ht="25" customHeight="1">
      <x:c r="A104" s="9"/>
      <x:c r="B104" s="9"/>
      <x:c r="C104" s="9"/>
      <x:c r="D104" s="9"/>
      <x:c r="E104" s="9"/>
      <x:c r="F104" s="9"/>
      <x:c r="G104" s="9"/>
    </x:row>
    <x:row r="105" ht="25" customHeight="1">
      <x:c r="A105" s="9"/>
      <x:c r="B105" s="9"/>
      <x:c r="C105" s="9"/>
      <x:c r="D105" s="9"/>
      <x:c r="E105" s="9"/>
      <x:c r="F105" s="9"/>
      <x:c r="G105" s="9"/>
    </x:row>
    <x:row r="106" ht="25" customHeight="1">
      <x:c r="A106" s="9"/>
      <x:c r="B106" s="9"/>
      <x:c r="C106" s="9"/>
      <x:c r="D106" s="9"/>
      <x:c r="E106" s="9"/>
      <x:c r="F106" s="9"/>
      <x:c r="G106" s="9"/>
    </x:row>
    <x:row r="107" ht="25" customHeight="1">
      <x:c r="A107" s="9"/>
      <x:c r="B107" s="9"/>
      <x:c r="C107" s="9"/>
      <x:c r="D107" s="9"/>
      <x:c r="E107" s="9"/>
      <x:c r="F107" s="9"/>
      <x:c r="G107" s="9"/>
    </x:row>
    <x:row r="108" ht="25" customHeight="1">
      <x:c r="A108" s="9"/>
      <x:c r="B108" s="9"/>
      <x:c r="C108" s="9"/>
      <x:c r="D108" s="9"/>
      <x:c r="E108" s="9"/>
      <x:c r="F108" s="9"/>
      <x:c r="G108" s="9"/>
    </x:row>
    <x:row r="109" ht="25" customHeight="1">
      <x:c r="A109" s="9"/>
      <x:c r="B109" s="9"/>
      <x:c r="C109" s="9"/>
      <x:c r="D109" s="9"/>
      <x:c r="E109" s="9"/>
      <x:c r="F109" s="9"/>
      <x:c r="G109" s="9"/>
    </x:row>
    <x:row r="110" ht="25" customHeight="1">
      <x:c r="A110" s="9"/>
      <x:c r="B110" s="9"/>
      <x:c r="C110" s="9"/>
      <x:c r="D110" s="9"/>
      <x:c r="E110" s="9"/>
      <x:c r="F110" s="9"/>
      <x:c r="G110" s="9"/>
    </x:row>
    <x:row r="111" ht="25" customHeight="1">
      <x:c r="A111" s="9"/>
      <x:c r="B111" s="9"/>
      <x:c r="C111" s="9"/>
      <x:c r="D111" s="9"/>
      <x:c r="E111" s="9"/>
      <x:c r="F111" s="9"/>
      <x:c r="G111" s="9"/>
    </x:row>
    <x:row r="112" ht="25" customHeight="1">
      <x:c r="A112" s="9"/>
      <x:c r="B112" s="9"/>
      <x:c r="C112" s="9"/>
      <x:c r="D112" s="9"/>
      <x:c r="E112" s="9"/>
      <x:c r="F112" s="9"/>
      <x:c r="G112" s="9"/>
    </x:row>
    <x:row r="113" ht="25" customHeight="1">
      <x:c r="A113" s="9"/>
      <x:c r="B113" s="9"/>
      <x:c r="C113" s="9"/>
      <x:c r="D113" s="9"/>
      <x:c r="E113" s="9"/>
      <x:c r="F113" s="9"/>
      <x:c r="G113" s="9"/>
    </x:row>
    <x:row r="114" ht="25" customHeight="1">
      <x:c r="A114" s="9"/>
      <x:c r="B114" s="9"/>
      <x:c r="C114" s="9"/>
      <x:c r="D114" s="9"/>
      <x:c r="E114" s="9"/>
      <x:c r="F114" s="9"/>
      <x:c r="G114" s="9"/>
    </x:row>
    <x:row r="115" ht="25" customHeight="1">
      <x:c r="A115" s="9"/>
      <x:c r="B115" s="9"/>
      <x:c r="C115" s="9"/>
      <x:c r="D115" s="9"/>
      <x:c r="E115" s="9"/>
      <x:c r="F115" s="9"/>
      <x:c r="G115" s="9"/>
    </x:row>
    <x:row r="116" ht="25" customHeight="1">
      <x:c r="A116" s="9"/>
      <x:c r="B116" s="9"/>
      <x:c r="C116" s="9"/>
      <x:c r="D116" s="9"/>
      <x:c r="E116" s="9"/>
      <x:c r="F116" s="9"/>
      <x:c r="G116" s="9"/>
    </x:row>
    <x:row r="117" ht="25" customHeight="1">
      <x:c r="A117" s="9"/>
      <x:c r="B117" s="9"/>
      <x:c r="C117" s="9"/>
      <x:c r="D117" s="9"/>
      <x:c r="E117" s="9"/>
      <x:c r="F117" s="9"/>
      <x:c r="G117" s="9"/>
    </x:row>
    <x:row r="118" ht="25" customHeight="1">
      <x:c r="A118" s="9"/>
      <x:c r="B118" s="9"/>
      <x:c r="C118" s="9"/>
      <x:c r="D118" s="9"/>
      <x:c r="E118" s="9"/>
      <x:c r="F118" s="9"/>
      <x:c r="G118" s="9"/>
    </x:row>
    <x:row r="119" ht="25" customHeight="1">
      <x:c r="A119" s="9"/>
      <x:c r="B119" s="9"/>
      <x:c r="C119" s="9"/>
      <x:c r="D119" s="9"/>
      <x:c r="E119" s="9"/>
      <x:c r="F119" s="9"/>
      <x:c r="G119" s="9"/>
    </x:row>
    <x:row r="120" ht="25" customHeight="1">
      <x:c r="A120" s="9"/>
      <x:c r="B120" s="9"/>
      <x:c r="C120" s="9"/>
      <x:c r="D120" s="9"/>
      <x:c r="E120" s="9"/>
      <x:c r="F120" s="9"/>
      <x:c r="G120" s="9"/>
    </x:row>
  </x:sheetData>
  <x:mergeCells>
    <x:mergeCell ref="A1:G2"/>
    <x:mergeCell ref="A3:G4"/>
  </x:mergeCells>
  <x:pageMargins left="0.7" right="0.7" top="0.75" bottom="0.75" header="0.3" footer="0.3"/>
</x:worksheet>
</file>

<file path=xl/worksheets/sheet5.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2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24" customHeight="1">
      <x:c r="A1" s="2" t="str">
        <x:v>Planning inputs</x:v>
      </x:c>
      <x:c r="B1" s="2"/>
      <x:c r="C1" s="2"/>
      <x:c r="D1" s="2"/>
      <x:c r="E1" s="2"/>
      <x:c r="F1" s="2"/>
      <x:c r="G1" s="2"/>
      <x:c r="H1" s="2"/>
      <x:c r="I1" s="2"/>
      <x:c r="J1" s="2"/>
      <x:c r="K1" s="2"/>
      <x:c r="L1" s="2"/>
      <x:c r="M1" s="2"/>
    </x:row>
    <x:row r="2" ht="24" customHeight="1">
      <x:c r="A2" s="2"/>
      <x:c r="B2" s="2"/>
      <x:c r="C2" s="2"/>
      <x:c r="D2" s="2"/>
      <x:c r="E2" s="2"/>
      <x:c r="F2" s="2"/>
      <x:c r="G2" s="2"/>
      <x:c r="H2" s="2"/>
      <x:c r="I2" s="2"/>
      <x:c r="J2" s="2"/>
      <x:c r="K2" s="2"/>
      <x:c r="L2" s="2"/>
      <x:c r="M2" s="2"/>
    </x:row>
    <x:row r="3" ht="22" customHeight="1">
      <x:c r="A3" s="4" t="str">
        <x:v>Fictional data. Blue cells are editable. Quantities are cases. Change master data here; keep SKU and warehouse keys consistent.</x:v>
      </x:c>
      <x:c r="B3" s="4"/>
      <x:c r="C3" s="4"/>
      <x:c r="D3" s="4"/>
      <x:c r="E3" s="4"/>
      <x:c r="F3" s="4"/>
      <x:c r="G3" s="4"/>
      <x:c r="H3" s="4"/>
      <x:c r="I3" s="4"/>
      <x:c r="J3" s="4"/>
      <x:c r="K3" s="4"/>
      <x:c r="L3" s="4"/>
      <x:c r="M3" s="4"/>
    </x:row>
    <x:row r="4" ht="22" customHeight="1">
      <x:c r="A4" s="4"/>
      <x:c r="B4" s="4"/>
      <x:c r="C4" s="4"/>
      <x:c r="D4" s="4"/>
      <x:c r="E4" s="4"/>
      <x:c r="F4" s="4"/>
      <x:c r="G4" s="4"/>
      <x:c r="H4" s="4"/>
      <x:c r="I4" s="4"/>
      <x:c r="J4" s="4"/>
      <x:c r="K4" s="4"/>
      <x:c r="L4" s="4"/>
      <x:c r="M4" s="4"/>
    </x:row>
    <x:row r="6" ht="36" customHeight="1">
      <x:c r="A6" s="7" t="str">
        <x:v>SKU</x:v>
      </x:c>
      <x:c r="B6" s="7" t="str">
        <x:v>Product</x:v>
      </x:c>
      <x:c r="C6" s="7" t="str">
        <x:v>Line</x:v>
      </x:c>
      <x:c r="D6" s="7" t="str">
        <x:v>Cases / hour</x:v>
      </x:c>
      <x:c r="E6" s="7" t="str">
        <x:v>Cases / pallet</x:v>
      </x:c>
      <x:c r="F6" s="7" t="str">
        <x:v>Cost / case</x:v>
      </x:c>
      <x:c r="G6" s="7" t="str">
        <x:v>Warehouse</x:v>
      </x:c>
      <x:c r="H6" s="7" t="str">
        <x:v>SKU</x:v>
      </x:c>
      <x:c r="I6" s="7" t="str">
        <x:v>Opening stock</x:v>
      </x:c>
      <x:c r="J6" s="7" t="str">
        <x:v>Target weeks</x:v>
      </x:c>
      <x:c r="K6" s="7" t="str">
        <x:v>Strategy</x:v>
      </x:c>
      <x:c r="L6" s="7" t="str">
        <x:v>Line</x:v>
      </x:c>
      <x:c r="M6" s="7" t="str">
        <x:v>Hours / month</x:v>
      </x:c>
    </x:row>
    <x:row r="7" ht="25" customHeight="1">
      <x:c r="A7" s="10" t="str">
        <x:v>DEMO-01</x:v>
      </x:c>
      <x:c r="B7" s="10" t="str">
        <x:v>Everyday care</x:v>
      </x:c>
      <x:c r="C7" s="10" t="str">
        <x:v>Line A</x:v>
      </x:c>
      <x:c r="D7" s="10" t="n">
        <x:v>500</x:v>
      </x:c>
      <x:c r="E7" s="10" t="n">
        <x:v>120</x:v>
      </x:c>
      <x:c r="F7" s="10" t="n">
        <x:v>8</x:v>
      </x:c>
      <x:c r="G7" s="10" t="str">
        <x:v>WH-1</x:v>
      </x:c>
      <x:c r="H7" s="10" t="str">
        <x:v>DEMO-01</x:v>
      </x:c>
      <x:c r="I7" s="10" t="n">
        <x:v>2500</x:v>
      </x:c>
      <x:c r="J7" s="10" t="n">
        <x:v>3</x:v>
      </x:c>
      <x:c r="K7" s="10" t="str">
        <x:v>MTS</x:v>
      </x:c>
      <x:c r="L7" s="10" t="str">
        <x:v>Line A</x:v>
      </x:c>
      <x:c r="M7" s="10" t="n">
        <x:v>110</x:v>
      </x:c>
    </x:row>
    <x:row r="8" ht="25" customHeight="1">
      <x:c r="A8" s="10" t="str">
        <x:v>DEMO-02</x:v>
      </x:c>
      <x:c r="B8" s="10" t="str">
        <x:v>Travel care</x:v>
      </x:c>
      <x:c r="C8" s="10" t="str">
        <x:v>Line A</x:v>
      </x:c>
      <x:c r="D8" s="10" t="n">
        <x:v>400</x:v>
      </x:c>
      <x:c r="E8" s="10" t="n">
        <x:v>100</x:v>
      </x:c>
      <x:c r="F8" s="10" t="n">
        <x:v>10</x:v>
      </x:c>
      <x:c r="G8" s="10" t="str">
        <x:v>WH-2</x:v>
      </x:c>
      <x:c r="H8" s="10" t="str">
        <x:v>DEMO-01</x:v>
      </x:c>
      <x:c r="I8" s="10" t="n">
        <x:v>2500</x:v>
      </x:c>
      <x:c r="J8" s="10" t="n">
        <x:v>3</x:v>
      </x:c>
      <x:c r="K8" s="10" t="str">
        <x:v>MTS</x:v>
      </x:c>
      <x:c r="L8" s="10" t="str">
        <x:v>Line B</x:v>
      </x:c>
      <x:c r="M8" s="10" t="n">
        <x:v>125</x:v>
      </x:c>
    </x:row>
    <x:row r="9" ht="25" customHeight="1">
      <x:c r="A9" s="10" t="str">
        <x:v>DEMO-03</x:v>
      </x:c>
      <x:c r="B9" s="10" t="str">
        <x:v>Home refill</x:v>
      </x:c>
      <x:c r="C9" s="10" t="str">
        <x:v>Line B</x:v>
      </x:c>
      <x:c r="D9" s="10" t="n">
        <x:v>650</x:v>
      </x:c>
      <x:c r="E9" s="10" t="n">
        <x:v>80</x:v>
      </x:c>
      <x:c r="F9" s="10" t="n">
        <x:v>12</x:v>
      </x:c>
      <x:c r="G9" s="10" t="str">
        <x:v>WH-1</x:v>
      </x:c>
      <x:c r="H9" s="10" t="str">
        <x:v>DEMO-02</x:v>
      </x:c>
      <x:c r="I9" s="10" t="n">
        <x:v>2900</x:v>
      </x:c>
      <x:c r="J9" s="10" t="n">
        <x:v>3</x:v>
      </x:c>
      <x:c r="K9" s="10" t="str">
        <x:v>MTS</x:v>
      </x:c>
      <x:c r="L9" s="10"/>
      <x:c r="M9" s="10"/>
    </x:row>
    <x:row r="10" ht="25" customHeight="1">
      <x:c r="A10" s="10" t="str">
        <x:v>DEMO-04</x:v>
      </x:c>
      <x:c r="B10" s="10" t="str">
        <x:v>Special order</x:v>
      </x:c>
      <x:c r="C10" s="10" t="str">
        <x:v>Line B</x:v>
      </x:c>
      <x:c r="D10" s="10" t="n">
        <x:v>450</x:v>
      </x:c>
      <x:c r="E10" s="10" t="n">
        <x:v>90</x:v>
      </x:c>
      <x:c r="F10" s="10" t="n">
        <x:v>15</x:v>
      </x:c>
      <x:c r="G10" s="10" t="str">
        <x:v>WH-2</x:v>
      </x:c>
      <x:c r="H10" s="10" t="str">
        <x:v>DEMO-02</x:v>
      </x:c>
      <x:c r="I10" s="10" t="n">
        <x:v>2900</x:v>
      </x:c>
      <x:c r="J10" s="10" t="n">
        <x:v>3</x:v>
      </x:c>
      <x:c r="K10" s="10" t="str">
        <x:v>MTS</x:v>
      </x:c>
      <x:c r="L10" s="10"/>
      <x:c r="M10" s="10"/>
    </x:row>
    <x:row r="11" ht="25" customHeight="1">
      <x:c r="A11" s="10"/>
      <x:c r="B11" s="10"/>
      <x:c r="C11" s="10"/>
      <x:c r="D11" s="10"/>
      <x:c r="E11" s="10"/>
      <x:c r="F11" s="10"/>
      <x:c r="G11" s="10" t="str">
        <x:v>WH-1</x:v>
      </x:c>
      <x:c r="H11" s="10" t="str">
        <x:v>DEMO-03</x:v>
      </x:c>
      <x:c r="I11" s="10" t="n">
        <x:v>3300</x:v>
      </x:c>
      <x:c r="J11" s="10" t="n">
        <x:v>3</x:v>
      </x:c>
      <x:c r="K11" s="10" t="str">
        <x:v>MTS</x:v>
      </x:c>
      <x:c r="L11" s="10"/>
      <x:c r="M11" s="10"/>
    </x:row>
    <x:row r="12" ht="25" customHeight="1">
      <x:c r="A12" s="10"/>
      <x:c r="B12" s="10"/>
      <x:c r="C12" s="10"/>
      <x:c r="D12" s="10"/>
      <x:c r="E12" s="10"/>
      <x:c r="F12" s="10"/>
      <x:c r="G12" s="10" t="str">
        <x:v>WH-2</x:v>
      </x:c>
      <x:c r="H12" s="10" t="str">
        <x:v>DEMO-03</x:v>
      </x:c>
      <x:c r="I12" s="10" t="n">
        <x:v>3300</x:v>
      </x:c>
      <x:c r="J12" s="10" t="n">
        <x:v>3</x:v>
      </x:c>
      <x:c r="K12" s="10" t="str">
        <x:v>MTS</x:v>
      </x:c>
      <x:c r="L12" s="10"/>
      <x:c r="M12" s="10"/>
    </x:row>
    <x:row r="13" ht="25" customHeight="1">
      <x:c r="A13" s="10"/>
      <x:c r="B13" s="10"/>
      <x:c r="C13" s="10"/>
      <x:c r="D13" s="10"/>
      <x:c r="E13" s="10"/>
      <x:c r="F13" s="10"/>
      <x:c r="G13" s="10" t="str">
        <x:v>WH-1</x:v>
      </x:c>
      <x:c r="H13" s="10" t="str">
        <x:v>DEMO-04</x:v>
      </x:c>
      <x:c r="I13" s="10" t="n">
        <x:v>3700</x:v>
      </x:c>
      <x:c r="J13" s="10" t="n">
        <x:v>0</x:v>
      </x:c>
      <x:c r="K13" s="10" t="str">
        <x:v>MTO</x:v>
      </x:c>
      <x:c r="L13" s="10"/>
      <x:c r="M13" s="10"/>
    </x:row>
    <x:row r="14" ht="25" customHeight="1">
      <x:c r="A14" s="10"/>
      <x:c r="B14" s="10"/>
      <x:c r="C14" s="10"/>
      <x:c r="D14" s="10"/>
      <x:c r="E14" s="10"/>
      <x:c r="F14" s="10"/>
      <x:c r="G14" s="10" t="str">
        <x:v>WH-2</x:v>
      </x:c>
      <x:c r="H14" s="10" t="str">
        <x:v>DEMO-04</x:v>
      </x:c>
      <x:c r="I14" s="10" t="n">
        <x:v>3700</x:v>
      </x:c>
      <x:c r="J14" s="10" t="n">
        <x:v>0</x:v>
      </x:c>
      <x:c r="K14" s="10" t="str">
        <x:v>MTO</x:v>
      </x:c>
      <x:c r="L14" s="10"/>
      <x:c r="M14" s="10"/>
    </x:row>
    <x:row r="15" ht="25" customHeight="1">
      <x:c r="A15" s="9"/>
      <x:c r="B15" s="9"/>
      <x:c r="C15" s="9"/>
      <x:c r="D15" s="9"/>
      <x:c r="E15" s="9"/>
      <x:c r="F15" s="9"/>
      <x:c r="G15" s="9"/>
      <x:c r="H15" s="9"/>
      <x:c r="I15" s="9"/>
      <x:c r="J15" s="9"/>
      <x:c r="K15" s="9"/>
      <x:c r="L15" s="9"/>
      <x:c r="M15" s="9"/>
    </x:row>
    <x:row r="16" ht="25" customHeight="1">
      <x:c r="A16" s="9"/>
      <x:c r="B16" s="9"/>
      <x:c r="C16" s="9"/>
      <x:c r="D16" s="9"/>
      <x:c r="E16" s="9"/>
      <x:c r="F16" s="9"/>
      <x:c r="G16" s="9"/>
      <x:c r="H16" s="9"/>
      <x:c r="I16" s="9"/>
      <x:c r="J16" s="9"/>
      <x:c r="K16" s="9"/>
      <x:c r="L16" s="9"/>
      <x:c r="M16" s="9"/>
    </x:row>
    <x:row r="17" ht="25" customHeight="1">
      <x:c r="A17" s="9"/>
      <x:c r="B17" s="9"/>
      <x:c r="C17" s="9"/>
      <x:c r="D17" s="9"/>
      <x:c r="E17" s="9"/>
      <x:c r="F17" s="9"/>
      <x:c r="G17" s="9"/>
      <x:c r="H17" s="9"/>
      <x:c r="I17" s="9"/>
      <x:c r="J17" s="9"/>
      <x:c r="K17" s="9"/>
      <x:c r="L17" s="9"/>
      <x:c r="M17" s="9"/>
    </x:row>
    <x:row r="18" ht="25" customHeight="1">
      <x:c r="A18" s="9"/>
      <x:c r="B18" s="9"/>
      <x:c r="C18" s="9"/>
      <x:c r="D18" s="9"/>
      <x:c r="E18" s="9"/>
      <x:c r="F18" s="9"/>
      <x:c r="G18" s="9"/>
      <x:c r="H18" s="9"/>
      <x:c r="I18" s="9"/>
      <x:c r="J18" s="9"/>
      <x:c r="K18" s="9"/>
      <x:c r="L18" s="9"/>
      <x:c r="M18" s="9"/>
    </x:row>
    <x:row r="19" ht="25" customHeight="1">
      <x:c r="A19" s="9"/>
      <x:c r="B19" s="9"/>
      <x:c r="C19" s="9"/>
      <x:c r="D19" s="9"/>
      <x:c r="E19" s="9"/>
      <x:c r="F19" s="9"/>
      <x:c r="G19" s="9"/>
      <x:c r="H19" s="9"/>
      <x:c r="I19" s="9"/>
      <x:c r="J19" s="9"/>
      <x:c r="K19" s="9"/>
      <x:c r="L19" s="9"/>
      <x:c r="M19" s="9"/>
    </x:row>
    <x:row r="20" ht="25" customHeight="1">
      <x:c r="A20" s="9"/>
      <x:c r="B20" s="9"/>
      <x:c r="C20" s="9"/>
      <x:c r="D20" s="9"/>
      <x:c r="E20" s="9"/>
      <x:c r="F20" s="9"/>
      <x:c r="G20" s="9"/>
      <x:c r="H20" s="9"/>
      <x:c r="I20" s="9"/>
      <x:c r="J20" s="9"/>
      <x:c r="K20" s="9"/>
      <x:c r="L20" s="9"/>
      <x:c r="M20" s="9"/>
    </x:row>
    <x:row r="21" ht="25" customHeight="1">
      <x:c r="A21" s="9"/>
      <x:c r="B21" s="9"/>
      <x:c r="C21" s="9"/>
      <x:c r="D21" s="9"/>
      <x:c r="E21" s="9"/>
      <x:c r="F21" s="9"/>
      <x:c r="G21" s="9"/>
      <x:c r="H21" s="9"/>
      <x:c r="I21" s="9"/>
      <x:c r="J21" s="9"/>
      <x:c r="K21" s="9"/>
      <x:c r="L21" s="9"/>
      <x:c r="M21" s="9"/>
    </x:row>
    <x:row r="22" ht="25" customHeight="1">
      <x:c r="A22" s="9"/>
      <x:c r="B22" s="9"/>
      <x:c r="C22" s="9"/>
      <x:c r="D22" s="9"/>
      <x:c r="E22" s="9"/>
      <x:c r="F22" s="9"/>
      <x:c r="G22" s="9"/>
      <x:c r="H22" s="9"/>
      <x:c r="I22" s="9"/>
      <x:c r="J22" s="9"/>
      <x:c r="K22" s="9"/>
      <x:c r="L22" s="9"/>
      <x:c r="M22" s="9"/>
    </x:row>
    <x:row r="23" ht="25" customHeight="1">
      <x:c r="A23" s="9"/>
      <x:c r="B23" s="9"/>
      <x:c r="C23" s="9"/>
      <x:c r="D23" s="9"/>
      <x:c r="E23" s="9"/>
      <x:c r="F23" s="9"/>
      <x:c r="G23" s="9"/>
      <x:c r="H23" s="9"/>
      <x:c r="I23" s="9"/>
      <x:c r="J23" s="9"/>
      <x:c r="K23" s="9"/>
      <x:c r="L23" s="9"/>
      <x:c r="M23" s="9"/>
    </x:row>
    <x:row r="24" ht="25" customHeight="1">
      <x:c r="A24" s="9"/>
      <x:c r="B24" s="9"/>
      <x:c r="C24" s="9"/>
      <x:c r="D24" s="9"/>
      <x:c r="E24" s="9"/>
      <x:c r="F24" s="9"/>
      <x:c r="G24" s="9"/>
      <x:c r="H24" s="9"/>
      <x:c r="I24" s="9"/>
      <x:c r="J24" s="9"/>
      <x:c r="K24" s="9"/>
      <x:c r="L24" s="9"/>
      <x:c r="M24" s="9"/>
    </x:row>
    <x:row r="25" ht="25" customHeight="1">
      <x:c r="A25" s="9"/>
      <x:c r="B25" s="9"/>
      <x:c r="C25" s="9"/>
      <x:c r="D25" s="9"/>
      <x:c r="E25" s="9"/>
      <x:c r="F25" s="9"/>
      <x:c r="G25" s="9"/>
      <x:c r="H25" s="9"/>
      <x:c r="I25" s="9"/>
      <x:c r="J25" s="9"/>
      <x:c r="K25" s="9"/>
      <x:c r="L25" s="9"/>
      <x:c r="M25" s="9"/>
    </x:row>
    <x:row r="26" ht="25" customHeight="1">
      <x:c r="A26" s="9"/>
      <x:c r="B26" s="9"/>
      <x:c r="C26" s="9"/>
      <x:c r="D26" s="9"/>
      <x:c r="E26" s="9"/>
      <x:c r="F26" s="9"/>
      <x:c r="G26" s="9"/>
      <x:c r="H26" s="9"/>
      <x:c r="I26" s="9"/>
      <x:c r="J26" s="9"/>
      <x:c r="K26" s="9"/>
      <x:c r="L26" s="9"/>
      <x:c r="M26" s="9"/>
    </x:row>
    <x:row r="27" ht="25" customHeight="1">
      <x:c r="A27" s="9"/>
      <x:c r="B27" s="9"/>
      <x:c r="C27" s="9"/>
      <x:c r="D27" s="9"/>
      <x:c r="E27" s="9"/>
      <x:c r="F27" s="9"/>
      <x:c r="G27" s="9"/>
      <x:c r="H27" s="9"/>
      <x:c r="I27" s="9"/>
      <x:c r="J27" s="9"/>
      <x:c r="K27" s="9"/>
      <x:c r="L27" s="9"/>
      <x:c r="M27" s="9"/>
    </x:row>
    <x:row r="28" ht="25" customHeight="1">
      <x:c r="A28" s="9"/>
      <x:c r="B28" s="9"/>
      <x:c r="C28" s="9"/>
      <x:c r="D28" s="9"/>
      <x:c r="E28" s="9"/>
      <x:c r="F28" s="9"/>
      <x:c r="G28" s="9"/>
      <x:c r="H28" s="9"/>
      <x:c r="I28" s="9"/>
      <x:c r="J28" s="9"/>
      <x:c r="K28" s="9"/>
      <x:c r="L28" s="9"/>
      <x:c r="M28" s="9"/>
    </x:row>
    <x:row r="29" ht="25" customHeight="1">
      <x:c r="A29" s="9"/>
      <x:c r="B29" s="9"/>
      <x:c r="C29" s="9"/>
      <x:c r="D29" s="9"/>
      <x:c r="E29" s="9"/>
      <x:c r="F29" s="9"/>
      <x:c r="G29" s="9"/>
      <x:c r="H29" s="9"/>
      <x:c r="I29" s="9"/>
      <x:c r="J29" s="9"/>
      <x:c r="K29" s="9"/>
      <x:c r="L29" s="9"/>
      <x:c r="M29" s="9"/>
    </x:row>
    <x:row r="30" ht="25" customHeight="1">
      <x:c r="A30" s="9"/>
      <x:c r="B30" s="9"/>
      <x:c r="C30" s="9"/>
      <x:c r="D30" s="9"/>
      <x:c r="E30" s="9"/>
      <x:c r="F30" s="9"/>
      <x:c r="G30" s="9"/>
      <x:c r="H30" s="9"/>
      <x:c r="I30" s="9"/>
      <x:c r="J30" s="9"/>
      <x:c r="K30" s="9"/>
      <x:c r="L30" s="9"/>
      <x:c r="M30" s="9"/>
    </x:row>
    <x:row r="31" ht="25" customHeight="1">
      <x:c r="A31" s="9"/>
      <x:c r="B31" s="9"/>
      <x:c r="C31" s="9"/>
      <x:c r="D31" s="9"/>
      <x:c r="E31" s="9"/>
      <x:c r="F31" s="9"/>
      <x:c r="G31" s="9"/>
      <x:c r="H31" s="9"/>
      <x:c r="I31" s="9"/>
      <x:c r="J31" s="9"/>
      <x:c r="K31" s="9"/>
      <x:c r="L31" s="9"/>
      <x:c r="M31" s="9"/>
    </x:row>
    <x:row r="32" ht="25" customHeight="1">
      <x:c r="A32" s="9"/>
      <x:c r="B32" s="9"/>
      <x:c r="C32" s="9"/>
      <x:c r="D32" s="9"/>
      <x:c r="E32" s="9"/>
      <x:c r="F32" s="9"/>
      <x:c r="G32" s="9"/>
      <x:c r="H32" s="9"/>
      <x:c r="I32" s="9"/>
      <x:c r="J32" s="9"/>
      <x:c r="K32" s="9"/>
      <x:c r="L32" s="9"/>
      <x:c r="M32" s="9"/>
    </x:row>
    <x:row r="33" ht="25" customHeight="1">
      <x:c r="A33" s="9"/>
      <x:c r="B33" s="9"/>
      <x:c r="C33" s="9"/>
      <x:c r="D33" s="9"/>
      <x:c r="E33" s="9"/>
      <x:c r="F33" s="9"/>
      <x:c r="G33" s="9"/>
      <x:c r="H33" s="9"/>
      <x:c r="I33" s="9"/>
      <x:c r="J33" s="9"/>
      <x:c r="K33" s="9"/>
      <x:c r="L33" s="9"/>
      <x:c r="M33" s="9"/>
    </x:row>
    <x:row r="34" ht="25" customHeight="1">
      <x:c r="A34" s="9"/>
      <x:c r="B34" s="9"/>
      <x:c r="C34" s="9"/>
      <x:c r="D34" s="9"/>
      <x:c r="E34" s="9"/>
      <x:c r="F34" s="9"/>
      <x:c r="G34" s="9"/>
      <x:c r="H34" s="9"/>
      <x:c r="I34" s="9"/>
      <x:c r="J34" s="9"/>
      <x:c r="K34" s="9"/>
      <x:c r="L34" s="9"/>
      <x:c r="M34" s="9"/>
    </x:row>
    <x:row r="35" ht="25" customHeight="1">
      <x:c r="A35" s="9"/>
      <x:c r="B35" s="9"/>
      <x:c r="C35" s="9"/>
      <x:c r="D35" s="9"/>
      <x:c r="E35" s="9"/>
      <x:c r="F35" s="9"/>
      <x:c r="G35" s="9"/>
      <x:c r="H35" s="9"/>
      <x:c r="I35" s="9"/>
      <x:c r="J35" s="9"/>
      <x:c r="K35" s="9"/>
      <x:c r="L35" s="9"/>
      <x:c r="M35" s="9"/>
    </x:row>
    <x:row r="36" ht="25" customHeight="1">
      <x:c r="A36" s="9"/>
      <x:c r="B36" s="9"/>
      <x:c r="C36" s="9"/>
      <x:c r="D36" s="9"/>
      <x:c r="E36" s="9"/>
      <x:c r="F36" s="9"/>
      <x:c r="G36" s="9"/>
      <x:c r="H36" s="9"/>
      <x:c r="I36" s="9"/>
      <x:c r="J36" s="9"/>
      <x:c r="K36" s="9"/>
      <x:c r="L36" s="9"/>
      <x:c r="M36" s="9"/>
    </x:row>
    <x:row r="37" ht="25" customHeight="1">
      <x:c r="A37" s="9"/>
      <x:c r="B37" s="9"/>
      <x:c r="C37" s="9"/>
      <x:c r="D37" s="9"/>
      <x:c r="E37" s="9"/>
      <x:c r="F37" s="9"/>
      <x:c r="G37" s="9"/>
      <x:c r="H37" s="9"/>
      <x:c r="I37" s="9"/>
      <x:c r="J37" s="9"/>
      <x:c r="K37" s="9"/>
      <x:c r="L37" s="9"/>
      <x:c r="M37" s="9"/>
    </x:row>
    <x:row r="38" ht="25" customHeight="1">
      <x:c r="A38" s="9"/>
      <x:c r="B38" s="9"/>
      <x:c r="C38" s="9"/>
      <x:c r="D38" s="9"/>
      <x:c r="E38" s="9"/>
      <x:c r="F38" s="9"/>
      <x:c r="G38" s="9"/>
      <x:c r="H38" s="9"/>
      <x:c r="I38" s="9"/>
      <x:c r="J38" s="9"/>
      <x:c r="K38" s="9"/>
      <x:c r="L38" s="9"/>
      <x:c r="M38" s="9"/>
    </x:row>
    <x:row r="39" ht="25" customHeight="1">
      <x:c r="A39" s="9"/>
      <x:c r="B39" s="9"/>
      <x:c r="C39" s="9"/>
      <x:c r="D39" s="9"/>
      <x:c r="E39" s="9"/>
      <x:c r="F39" s="9"/>
      <x:c r="G39" s="9"/>
      <x:c r="H39" s="9"/>
      <x:c r="I39" s="9"/>
      <x:c r="J39" s="9"/>
      <x:c r="K39" s="9"/>
      <x:c r="L39" s="9"/>
      <x:c r="M39" s="9"/>
    </x:row>
    <x:row r="40" ht="25" customHeight="1">
      <x:c r="A40" s="9"/>
      <x:c r="B40" s="9"/>
      <x:c r="C40" s="9"/>
      <x:c r="D40" s="9"/>
      <x:c r="E40" s="9"/>
      <x:c r="F40" s="9"/>
      <x:c r="G40" s="9"/>
      <x:c r="H40" s="9"/>
      <x:c r="I40" s="9"/>
      <x:c r="J40" s="9"/>
      <x:c r="K40" s="9"/>
      <x:c r="L40" s="9"/>
      <x:c r="M40" s="9"/>
    </x:row>
    <x:row r="41" ht="25" customHeight="1">
      <x:c r="A41" s="9"/>
      <x:c r="B41" s="9"/>
      <x:c r="C41" s="9"/>
      <x:c r="D41" s="9"/>
      <x:c r="E41" s="9"/>
      <x:c r="F41" s="9"/>
      <x:c r="G41" s="9"/>
      <x:c r="H41" s="9"/>
      <x:c r="I41" s="9"/>
      <x:c r="J41" s="9"/>
      <x:c r="K41" s="9"/>
      <x:c r="L41" s="9"/>
      <x:c r="M41" s="9"/>
    </x:row>
    <x:row r="42" ht="25" customHeight="1">
      <x:c r="A42" s="9"/>
      <x:c r="B42" s="9"/>
      <x:c r="C42" s="9"/>
      <x:c r="D42" s="9"/>
      <x:c r="E42" s="9"/>
      <x:c r="F42" s="9"/>
      <x:c r="G42" s="9"/>
      <x:c r="H42" s="9"/>
      <x:c r="I42" s="9"/>
      <x:c r="J42" s="9"/>
      <x:c r="K42" s="9"/>
      <x:c r="L42" s="9"/>
      <x:c r="M42" s="9"/>
    </x:row>
    <x:row r="43" ht="25" customHeight="1">
      <x:c r="A43" s="9"/>
      <x:c r="B43" s="9"/>
      <x:c r="C43" s="9"/>
      <x:c r="D43" s="9"/>
      <x:c r="E43" s="9"/>
      <x:c r="F43" s="9"/>
      <x:c r="G43" s="9"/>
      <x:c r="H43" s="9"/>
      <x:c r="I43" s="9"/>
      <x:c r="J43" s="9"/>
      <x:c r="K43" s="9"/>
      <x:c r="L43" s="9"/>
      <x:c r="M43" s="9"/>
    </x:row>
    <x:row r="44" ht="25" customHeight="1">
      <x:c r="A44" s="9"/>
      <x:c r="B44" s="9"/>
      <x:c r="C44" s="9"/>
      <x:c r="D44" s="9"/>
      <x:c r="E44" s="9"/>
      <x:c r="F44" s="9"/>
      <x:c r="G44" s="9"/>
      <x:c r="H44" s="9"/>
      <x:c r="I44" s="9"/>
      <x:c r="J44" s="9"/>
      <x:c r="K44" s="9"/>
      <x:c r="L44" s="9"/>
      <x:c r="M44" s="9"/>
    </x:row>
    <x:row r="45" ht="25" customHeight="1">
      <x:c r="A45" s="9"/>
      <x:c r="B45" s="9"/>
      <x:c r="C45" s="9"/>
      <x:c r="D45" s="9"/>
      <x:c r="E45" s="9"/>
      <x:c r="F45" s="9"/>
      <x:c r="G45" s="9"/>
      <x:c r="H45" s="9"/>
      <x:c r="I45" s="9"/>
      <x:c r="J45" s="9"/>
      <x:c r="K45" s="9"/>
      <x:c r="L45" s="9"/>
      <x:c r="M45" s="9"/>
    </x:row>
    <x:row r="46" ht="25" customHeight="1">
      <x:c r="A46" s="9"/>
      <x:c r="B46" s="9"/>
      <x:c r="C46" s="9"/>
      <x:c r="D46" s="9"/>
      <x:c r="E46" s="9"/>
      <x:c r="F46" s="9"/>
      <x:c r="G46" s="9"/>
      <x:c r="H46" s="9"/>
      <x:c r="I46" s="9"/>
      <x:c r="J46" s="9"/>
      <x:c r="K46" s="9"/>
      <x:c r="L46" s="9"/>
      <x:c r="M46" s="9"/>
    </x:row>
    <x:row r="47" ht="25" customHeight="1">
      <x:c r="A47" s="9"/>
      <x:c r="B47" s="9"/>
      <x:c r="C47" s="9"/>
      <x:c r="D47" s="9"/>
      <x:c r="E47" s="9"/>
      <x:c r="F47" s="9"/>
      <x:c r="G47" s="9"/>
      <x:c r="H47" s="9"/>
      <x:c r="I47" s="9"/>
      <x:c r="J47" s="9"/>
      <x:c r="K47" s="9"/>
      <x:c r="L47" s="9"/>
      <x:c r="M47" s="9"/>
    </x:row>
    <x:row r="48" ht="25" customHeight="1">
      <x:c r="A48" s="9"/>
      <x:c r="B48" s="9"/>
      <x:c r="C48" s="9"/>
      <x:c r="D48" s="9"/>
      <x:c r="E48" s="9"/>
      <x:c r="F48" s="9"/>
      <x:c r="G48" s="9"/>
      <x:c r="H48" s="9"/>
      <x:c r="I48" s="9"/>
      <x:c r="J48" s="9"/>
      <x:c r="K48" s="9"/>
      <x:c r="L48" s="9"/>
      <x:c r="M48" s="9"/>
    </x:row>
    <x:row r="49" ht="25" customHeight="1">
      <x:c r="A49" s="9"/>
      <x:c r="B49" s="9"/>
      <x:c r="C49" s="9"/>
      <x:c r="D49" s="9"/>
      <x:c r="E49" s="9"/>
      <x:c r="F49" s="9"/>
      <x:c r="G49" s="9"/>
      <x:c r="H49" s="9"/>
      <x:c r="I49" s="9"/>
      <x:c r="J49" s="9"/>
      <x:c r="K49" s="9"/>
      <x:c r="L49" s="9"/>
      <x:c r="M49" s="9"/>
    </x:row>
    <x:row r="50" ht="25" customHeight="1">
      <x:c r="A50" s="9"/>
      <x:c r="B50" s="9"/>
      <x:c r="C50" s="9"/>
      <x:c r="D50" s="9"/>
      <x:c r="E50" s="9"/>
      <x:c r="F50" s="9"/>
      <x:c r="G50" s="9"/>
      <x:c r="H50" s="9"/>
      <x:c r="I50" s="9"/>
      <x:c r="J50" s="9"/>
      <x:c r="K50" s="9"/>
      <x:c r="L50" s="9"/>
      <x:c r="M50" s="9"/>
    </x:row>
    <x:row r="51" ht="25" customHeight="1">
      <x:c r="A51" s="9"/>
      <x:c r="B51" s="9"/>
      <x:c r="C51" s="9"/>
      <x:c r="D51" s="9"/>
      <x:c r="E51" s="9"/>
      <x:c r="F51" s="9"/>
      <x:c r="G51" s="9"/>
      <x:c r="H51" s="9"/>
      <x:c r="I51" s="9"/>
      <x:c r="J51" s="9"/>
      <x:c r="K51" s="9"/>
      <x:c r="L51" s="9"/>
      <x:c r="M51" s="9"/>
    </x:row>
    <x:row r="52" ht="25" customHeight="1">
      <x:c r="A52" s="9"/>
      <x:c r="B52" s="9"/>
      <x:c r="C52" s="9"/>
      <x:c r="D52" s="9"/>
      <x:c r="E52" s="9"/>
      <x:c r="F52" s="9"/>
      <x:c r="G52" s="9"/>
      <x:c r="H52" s="9"/>
      <x:c r="I52" s="9"/>
      <x:c r="J52" s="9"/>
      <x:c r="K52" s="9"/>
      <x:c r="L52" s="9"/>
      <x:c r="M52" s="9"/>
    </x:row>
    <x:row r="53" ht="25" customHeight="1">
      <x:c r="A53" s="9"/>
      <x:c r="B53" s="9"/>
      <x:c r="C53" s="9"/>
      <x:c r="D53" s="9"/>
      <x:c r="E53" s="9"/>
      <x:c r="F53" s="9"/>
      <x:c r="G53" s="9"/>
      <x:c r="H53" s="9"/>
      <x:c r="I53" s="9"/>
      <x:c r="J53" s="9"/>
      <x:c r="K53" s="9"/>
      <x:c r="L53" s="9"/>
      <x:c r="M53" s="9"/>
    </x:row>
    <x:row r="54" ht="25" customHeight="1">
      <x:c r="A54" s="9"/>
      <x:c r="B54" s="9"/>
      <x:c r="C54" s="9"/>
      <x:c r="D54" s="9"/>
      <x:c r="E54" s="9"/>
      <x:c r="F54" s="9"/>
      <x:c r="G54" s="9"/>
      <x:c r="H54" s="9"/>
      <x:c r="I54" s="9"/>
      <x:c r="J54" s="9"/>
      <x:c r="K54" s="9"/>
      <x:c r="L54" s="9"/>
      <x:c r="M54" s="9"/>
    </x:row>
    <x:row r="55" ht="25" customHeight="1">
      <x:c r="A55" s="9"/>
      <x:c r="B55" s="9"/>
      <x:c r="C55" s="9"/>
      <x:c r="D55" s="9"/>
      <x:c r="E55" s="9"/>
      <x:c r="F55" s="9"/>
      <x:c r="G55" s="9"/>
      <x:c r="H55" s="9"/>
      <x:c r="I55" s="9"/>
      <x:c r="J55" s="9"/>
      <x:c r="K55" s="9"/>
      <x:c r="L55" s="9"/>
      <x:c r="M55" s="9"/>
    </x:row>
    <x:row r="56" ht="25" customHeight="1">
      <x:c r="A56" s="9"/>
      <x:c r="B56" s="9"/>
      <x:c r="C56" s="9"/>
      <x:c r="D56" s="9"/>
      <x:c r="E56" s="9"/>
      <x:c r="F56" s="9"/>
      <x:c r="G56" s="9"/>
      <x:c r="H56" s="9"/>
      <x:c r="I56" s="9"/>
      <x:c r="J56" s="9"/>
      <x:c r="K56" s="9"/>
      <x:c r="L56" s="9"/>
      <x:c r="M56" s="9"/>
    </x:row>
    <x:row r="57" ht="25" customHeight="1">
      <x:c r="A57" s="9"/>
      <x:c r="B57" s="9"/>
      <x:c r="C57" s="9"/>
      <x:c r="D57" s="9"/>
      <x:c r="E57" s="9"/>
      <x:c r="F57" s="9"/>
      <x:c r="G57" s="9"/>
      <x:c r="H57" s="9"/>
      <x:c r="I57" s="9"/>
      <x:c r="J57" s="9"/>
      <x:c r="K57" s="9"/>
      <x:c r="L57" s="9"/>
      <x:c r="M57" s="9"/>
    </x:row>
    <x:row r="58" ht="25" customHeight="1">
      <x:c r="A58" s="9"/>
      <x:c r="B58" s="9"/>
      <x:c r="C58" s="9"/>
      <x:c r="D58" s="9"/>
      <x:c r="E58" s="9"/>
      <x:c r="F58" s="9"/>
      <x:c r="G58" s="9"/>
      <x:c r="H58" s="9"/>
      <x:c r="I58" s="9"/>
      <x:c r="J58" s="9"/>
      <x:c r="K58" s="9"/>
      <x:c r="L58" s="9"/>
      <x:c r="M58" s="9"/>
    </x:row>
    <x:row r="59" ht="25" customHeight="1">
      <x:c r="A59" s="9"/>
      <x:c r="B59" s="9"/>
      <x:c r="C59" s="9"/>
      <x:c r="D59" s="9"/>
      <x:c r="E59" s="9"/>
      <x:c r="F59" s="9"/>
      <x:c r="G59" s="9"/>
      <x:c r="H59" s="9"/>
      <x:c r="I59" s="9"/>
      <x:c r="J59" s="9"/>
      <x:c r="K59" s="9"/>
      <x:c r="L59" s="9"/>
      <x:c r="M59" s="9"/>
    </x:row>
    <x:row r="60" ht="25" customHeight="1">
      <x:c r="A60" s="9"/>
      <x:c r="B60" s="9"/>
      <x:c r="C60" s="9"/>
      <x:c r="D60" s="9"/>
      <x:c r="E60" s="9"/>
      <x:c r="F60" s="9"/>
      <x:c r="G60" s="9"/>
      <x:c r="H60" s="9"/>
      <x:c r="I60" s="9"/>
      <x:c r="J60" s="9"/>
      <x:c r="K60" s="9"/>
      <x:c r="L60" s="9"/>
      <x:c r="M60" s="9"/>
    </x:row>
    <x:row r="61" ht="25" customHeight="1">
      <x:c r="A61" s="9"/>
      <x:c r="B61" s="9"/>
      <x:c r="C61" s="9"/>
      <x:c r="D61" s="9"/>
      <x:c r="E61" s="9"/>
      <x:c r="F61" s="9"/>
      <x:c r="G61" s="9"/>
      <x:c r="H61" s="9"/>
      <x:c r="I61" s="9"/>
      <x:c r="J61" s="9"/>
      <x:c r="K61" s="9"/>
      <x:c r="L61" s="9"/>
      <x:c r="M61" s="9"/>
    </x:row>
    <x:row r="62" ht="25" customHeight="1">
      <x:c r="A62" s="9"/>
      <x:c r="B62" s="9"/>
      <x:c r="C62" s="9"/>
      <x:c r="D62" s="9"/>
      <x:c r="E62" s="9"/>
      <x:c r="F62" s="9"/>
      <x:c r="G62" s="9"/>
      <x:c r="H62" s="9"/>
      <x:c r="I62" s="9"/>
      <x:c r="J62" s="9"/>
      <x:c r="K62" s="9"/>
      <x:c r="L62" s="9"/>
      <x:c r="M62" s="9"/>
    </x:row>
    <x:row r="63" ht="25" customHeight="1">
      <x:c r="A63" s="9"/>
      <x:c r="B63" s="9"/>
      <x:c r="C63" s="9"/>
      <x:c r="D63" s="9"/>
      <x:c r="E63" s="9"/>
      <x:c r="F63" s="9"/>
      <x:c r="G63" s="9"/>
      <x:c r="H63" s="9"/>
      <x:c r="I63" s="9"/>
      <x:c r="J63" s="9"/>
      <x:c r="K63" s="9"/>
      <x:c r="L63" s="9"/>
      <x:c r="M63" s="9"/>
    </x:row>
    <x:row r="64" ht="25" customHeight="1">
      <x:c r="A64" s="9"/>
      <x:c r="B64" s="9"/>
      <x:c r="C64" s="9"/>
      <x:c r="D64" s="9"/>
      <x:c r="E64" s="9"/>
      <x:c r="F64" s="9"/>
      <x:c r="G64" s="9"/>
      <x:c r="H64" s="9"/>
      <x:c r="I64" s="9"/>
      <x:c r="J64" s="9"/>
      <x:c r="K64" s="9"/>
      <x:c r="L64" s="9"/>
      <x:c r="M64" s="9"/>
    </x:row>
    <x:row r="65" ht="25" customHeight="1">
      <x:c r="A65" s="9"/>
      <x:c r="B65" s="9"/>
      <x:c r="C65" s="9"/>
      <x:c r="D65" s="9"/>
      <x:c r="E65" s="9"/>
      <x:c r="F65" s="9"/>
      <x:c r="G65" s="9"/>
      <x:c r="H65" s="9"/>
      <x:c r="I65" s="9"/>
      <x:c r="J65" s="9"/>
      <x:c r="K65" s="9"/>
      <x:c r="L65" s="9"/>
      <x:c r="M65" s="9"/>
    </x:row>
    <x:row r="66" ht="25" customHeight="1">
      <x:c r="A66" s="9"/>
      <x:c r="B66" s="9"/>
      <x:c r="C66" s="9"/>
      <x:c r="D66" s="9"/>
      <x:c r="E66" s="9"/>
      <x:c r="F66" s="9"/>
      <x:c r="G66" s="9"/>
      <x:c r="H66" s="9"/>
      <x:c r="I66" s="9"/>
      <x:c r="J66" s="9"/>
      <x:c r="K66" s="9"/>
      <x:c r="L66" s="9"/>
      <x:c r="M66" s="9"/>
    </x:row>
    <x:row r="67" ht="25" customHeight="1">
      <x:c r="A67" s="9"/>
      <x:c r="B67" s="9"/>
      <x:c r="C67" s="9"/>
      <x:c r="D67" s="9"/>
      <x:c r="E67" s="9"/>
      <x:c r="F67" s="9"/>
      <x:c r="G67" s="9"/>
      <x:c r="H67" s="9"/>
      <x:c r="I67" s="9"/>
      <x:c r="J67" s="9"/>
      <x:c r="K67" s="9"/>
      <x:c r="L67" s="9"/>
      <x:c r="M67" s="9"/>
    </x:row>
    <x:row r="68" ht="25" customHeight="1">
      <x:c r="A68" s="9"/>
      <x:c r="B68" s="9"/>
      <x:c r="C68" s="9"/>
      <x:c r="D68" s="9"/>
      <x:c r="E68" s="9"/>
      <x:c r="F68" s="9"/>
      <x:c r="G68" s="9"/>
      <x:c r="H68" s="9"/>
      <x:c r="I68" s="9"/>
      <x:c r="J68" s="9"/>
      <x:c r="K68" s="9"/>
      <x:c r="L68" s="9"/>
      <x:c r="M68" s="9"/>
    </x:row>
    <x:row r="69" ht="25" customHeight="1">
      <x:c r="A69" s="9"/>
      <x:c r="B69" s="9"/>
      <x:c r="C69" s="9"/>
      <x:c r="D69" s="9"/>
      <x:c r="E69" s="9"/>
      <x:c r="F69" s="9"/>
      <x:c r="G69" s="9"/>
      <x:c r="H69" s="9"/>
      <x:c r="I69" s="9"/>
      <x:c r="J69" s="9"/>
      <x:c r="K69" s="9"/>
      <x:c r="L69" s="9"/>
      <x:c r="M69" s="9"/>
    </x:row>
    <x:row r="70" ht="25" customHeight="1">
      <x:c r="A70" s="9"/>
      <x:c r="B70" s="9"/>
      <x:c r="C70" s="9"/>
      <x:c r="D70" s="9"/>
      <x:c r="E70" s="9"/>
      <x:c r="F70" s="9"/>
      <x:c r="G70" s="9"/>
      <x:c r="H70" s="9"/>
      <x:c r="I70" s="9"/>
      <x:c r="J70" s="9"/>
      <x:c r="K70" s="9"/>
      <x:c r="L70" s="9"/>
      <x:c r="M70" s="9"/>
    </x:row>
    <x:row r="71" ht="25" customHeight="1">
      <x:c r="A71" s="9"/>
      <x:c r="B71" s="9"/>
      <x:c r="C71" s="9"/>
      <x:c r="D71" s="9"/>
      <x:c r="E71" s="9"/>
      <x:c r="F71" s="9"/>
      <x:c r="G71" s="9"/>
      <x:c r="H71" s="9"/>
      <x:c r="I71" s="9"/>
      <x:c r="J71" s="9"/>
      <x:c r="K71" s="9"/>
      <x:c r="L71" s="9"/>
      <x:c r="M71" s="9"/>
    </x:row>
    <x:row r="72" ht="25" customHeight="1">
      <x:c r="A72" s="9"/>
      <x:c r="B72" s="9"/>
      <x:c r="C72" s="9"/>
      <x:c r="D72" s="9"/>
      <x:c r="E72" s="9"/>
      <x:c r="F72" s="9"/>
      <x:c r="G72" s="9"/>
      <x:c r="H72" s="9"/>
      <x:c r="I72" s="9"/>
      <x:c r="J72" s="9"/>
      <x:c r="K72" s="9"/>
      <x:c r="L72" s="9"/>
      <x:c r="M72" s="9"/>
    </x:row>
    <x:row r="73" ht="25" customHeight="1">
      <x:c r="A73" s="9"/>
      <x:c r="B73" s="9"/>
      <x:c r="C73" s="9"/>
      <x:c r="D73" s="9"/>
      <x:c r="E73" s="9"/>
      <x:c r="F73" s="9"/>
      <x:c r="G73" s="9"/>
      <x:c r="H73" s="9"/>
      <x:c r="I73" s="9"/>
      <x:c r="J73" s="9"/>
      <x:c r="K73" s="9"/>
      <x:c r="L73" s="9"/>
      <x:c r="M73" s="9"/>
    </x:row>
    <x:row r="74" ht="25" customHeight="1">
      <x:c r="A74" s="9"/>
      <x:c r="B74" s="9"/>
      <x:c r="C74" s="9"/>
      <x:c r="D74" s="9"/>
      <x:c r="E74" s="9"/>
      <x:c r="F74" s="9"/>
      <x:c r="G74" s="9"/>
      <x:c r="H74" s="9"/>
      <x:c r="I74" s="9"/>
      <x:c r="J74" s="9"/>
      <x:c r="K74" s="9"/>
      <x:c r="L74" s="9"/>
      <x:c r="M74" s="9"/>
    </x:row>
    <x:row r="75" ht="25" customHeight="1">
      <x:c r="A75" s="9"/>
      <x:c r="B75" s="9"/>
      <x:c r="C75" s="9"/>
      <x:c r="D75" s="9"/>
      <x:c r="E75" s="9"/>
      <x:c r="F75" s="9"/>
      <x:c r="G75" s="9"/>
      <x:c r="H75" s="9"/>
      <x:c r="I75" s="9"/>
      <x:c r="J75" s="9"/>
      <x:c r="K75" s="9"/>
      <x:c r="L75" s="9"/>
      <x:c r="M75" s="9"/>
    </x:row>
    <x:row r="76" ht="25" customHeight="1">
      <x:c r="A76" s="9"/>
      <x:c r="B76" s="9"/>
      <x:c r="C76" s="9"/>
      <x:c r="D76" s="9"/>
      <x:c r="E76" s="9"/>
      <x:c r="F76" s="9"/>
      <x:c r="G76" s="9"/>
      <x:c r="H76" s="9"/>
      <x:c r="I76" s="9"/>
      <x:c r="J76" s="9"/>
      <x:c r="K76" s="9"/>
      <x:c r="L76" s="9"/>
      <x:c r="M76" s="9"/>
    </x:row>
    <x:row r="77" ht="25" customHeight="1">
      <x:c r="A77" s="9"/>
      <x:c r="B77" s="9"/>
      <x:c r="C77" s="9"/>
      <x:c r="D77" s="9"/>
      <x:c r="E77" s="9"/>
      <x:c r="F77" s="9"/>
      <x:c r="G77" s="9"/>
      <x:c r="H77" s="9"/>
      <x:c r="I77" s="9"/>
      <x:c r="J77" s="9"/>
      <x:c r="K77" s="9"/>
      <x:c r="L77" s="9"/>
      <x:c r="M77" s="9"/>
    </x:row>
    <x:row r="78" ht="25" customHeight="1">
      <x:c r="A78" s="9"/>
      <x:c r="B78" s="9"/>
      <x:c r="C78" s="9"/>
      <x:c r="D78" s="9"/>
      <x:c r="E78" s="9"/>
      <x:c r="F78" s="9"/>
      <x:c r="G78" s="9"/>
      <x:c r="H78" s="9"/>
      <x:c r="I78" s="9"/>
      <x:c r="J78" s="9"/>
      <x:c r="K78" s="9"/>
      <x:c r="L78" s="9"/>
      <x:c r="M78" s="9"/>
    </x:row>
    <x:row r="79" ht="25" customHeight="1">
      <x:c r="A79" s="9"/>
      <x:c r="B79" s="9"/>
      <x:c r="C79" s="9"/>
      <x:c r="D79" s="9"/>
      <x:c r="E79" s="9"/>
      <x:c r="F79" s="9"/>
      <x:c r="G79" s="9"/>
      <x:c r="H79" s="9"/>
      <x:c r="I79" s="9"/>
      <x:c r="J79" s="9"/>
      <x:c r="K79" s="9"/>
      <x:c r="L79" s="9"/>
      <x:c r="M79" s="9"/>
    </x:row>
    <x:row r="80" ht="25" customHeight="1">
      <x:c r="A80" s="9"/>
      <x:c r="B80" s="9"/>
      <x:c r="C80" s="9"/>
      <x:c r="D80" s="9"/>
      <x:c r="E80" s="9"/>
      <x:c r="F80" s="9"/>
      <x:c r="G80" s="9"/>
      <x:c r="H80" s="9"/>
      <x:c r="I80" s="9"/>
      <x:c r="J80" s="9"/>
      <x:c r="K80" s="9"/>
      <x:c r="L80" s="9"/>
      <x:c r="M80" s="9"/>
    </x:row>
    <x:row r="81" ht="25" customHeight="1">
      <x:c r="A81" s="9"/>
      <x:c r="B81" s="9"/>
      <x:c r="C81" s="9"/>
      <x:c r="D81" s="9"/>
      <x:c r="E81" s="9"/>
      <x:c r="F81" s="9"/>
      <x:c r="G81" s="9"/>
      <x:c r="H81" s="9"/>
      <x:c r="I81" s="9"/>
      <x:c r="J81" s="9"/>
      <x:c r="K81" s="9"/>
      <x:c r="L81" s="9"/>
      <x:c r="M81" s="9"/>
    </x:row>
    <x:row r="82" ht="25" customHeight="1">
      <x:c r="A82" s="9"/>
      <x:c r="B82" s="9"/>
      <x:c r="C82" s="9"/>
      <x:c r="D82" s="9"/>
      <x:c r="E82" s="9"/>
      <x:c r="F82" s="9"/>
      <x:c r="G82" s="9"/>
      <x:c r="H82" s="9"/>
      <x:c r="I82" s="9"/>
      <x:c r="J82" s="9"/>
      <x:c r="K82" s="9"/>
      <x:c r="L82" s="9"/>
      <x:c r="M82" s="9"/>
    </x:row>
    <x:row r="83" ht="25" customHeight="1">
      <x:c r="A83" s="9"/>
      <x:c r="B83" s="9"/>
      <x:c r="C83" s="9"/>
      <x:c r="D83" s="9"/>
      <x:c r="E83" s="9"/>
      <x:c r="F83" s="9"/>
      <x:c r="G83" s="9"/>
      <x:c r="H83" s="9"/>
      <x:c r="I83" s="9"/>
      <x:c r="J83" s="9"/>
      <x:c r="K83" s="9"/>
      <x:c r="L83" s="9"/>
      <x:c r="M83" s="9"/>
    </x:row>
    <x:row r="84" ht="25" customHeight="1">
      <x:c r="A84" s="9"/>
      <x:c r="B84" s="9"/>
      <x:c r="C84" s="9"/>
      <x:c r="D84" s="9"/>
      <x:c r="E84" s="9"/>
      <x:c r="F84" s="9"/>
      <x:c r="G84" s="9"/>
      <x:c r="H84" s="9"/>
      <x:c r="I84" s="9"/>
      <x:c r="J84" s="9"/>
      <x:c r="K84" s="9"/>
      <x:c r="L84" s="9"/>
      <x:c r="M84" s="9"/>
    </x:row>
    <x:row r="85" ht="25" customHeight="1">
      <x:c r="A85" s="9"/>
      <x:c r="B85" s="9"/>
      <x:c r="C85" s="9"/>
      <x:c r="D85" s="9"/>
      <x:c r="E85" s="9"/>
      <x:c r="F85" s="9"/>
      <x:c r="G85" s="9"/>
      <x:c r="H85" s="9"/>
      <x:c r="I85" s="9"/>
      <x:c r="J85" s="9"/>
      <x:c r="K85" s="9"/>
      <x:c r="L85" s="9"/>
      <x:c r="M85" s="9"/>
    </x:row>
    <x:row r="86" ht="25" customHeight="1">
      <x:c r="A86" s="9"/>
      <x:c r="B86" s="9"/>
      <x:c r="C86" s="9"/>
      <x:c r="D86" s="9"/>
      <x:c r="E86" s="9"/>
      <x:c r="F86" s="9"/>
      <x:c r="G86" s="9"/>
      <x:c r="H86" s="9"/>
      <x:c r="I86" s="9"/>
      <x:c r="J86" s="9"/>
      <x:c r="K86" s="9"/>
      <x:c r="L86" s="9"/>
      <x:c r="M86" s="9"/>
    </x:row>
    <x:row r="87" ht="25" customHeight="1">
      <x:c r="A87" s="9"/>
      <x:c r="B87" s="9"/>
      <x:c r="C87" s="9"/>
      <x:c r="D87" s="9"/>
      <x:c r="E87" s="9"/>
      <x:c r="F87" s="9"/>
      <x:c r="G87" s="9"/>
      <x:c r="H87" s="9"/>
      <x:c r="I87" s="9"/>
      <x:c r="J87" s="9"/>
      <x:c r="K87" s="9"/>
      <x:c r="L87" s="9"/>
      <x:c r="M87" s="9"/>
    </x:row>
    <x:row r="88" ht="25" customHeight="1">
      <x:c r="A88" s="9"/>
      <x:c r="B88" s="9"/>
      <x:c r="C88" s="9"/>
      <x:c r="D88" s="9"/>
      <x:c r="E88" s="9"/>
      <x:c r="F88" s="9"/>
      <x:c r="G88" s="9"/>
      <x:c r="H88" s="9"/>
      <x:c r="I88" s="9"/>
      <x:c r="J88" s="9"/>
      <x:c r="K88" s="9"/>
      <x:c r="L88" s="9"/>
      <x:c r="M88" s="9"/>
    </x:row>
    <x:row r="89" ht="25" customHeight="1">
      <x:c r="A89" s="9"/>
      <x:c r="B89" s="9"/>
      <x:c r="C89" s="9"/>
      <x:c r="D89" s="9"/>
      <x:c r="E89" s="9"/>
      <x:c r="F89" s="9"/>
      <x:c r="G89" s="9"/>
      <x:c r="H89" s="9"/>
      <x:c r="I89" s="9"/>
      <x:c r="J89" s="9"/>
      <x:c r="K89" s="9"/>
      <x:c r="L89" s="9"/>
      <x:c r="M89" s="9"/>
    </x:row>
    <x:row r="90" ht="25" customHeight="1">
      <x:c r="A90" s="9"/>
      <x:c r="B90" s="9"/>
      <x:c r="C90" s="9"/>
      <x:c r="D90" s="9"/>
      <x:c r="E90" s="9"/>
      <x:c r="F90" s="9"/>
      <x:c r="G90" s="9"/>
      <x:c r="H90" s="9"/>
      <x:c r="I90" s="9"/>
      <x:c r="J90" s="9"/>
      <x:c r="K90" s="9"/>
      <x:c r="L90" s="9"/>
      <x:c r="M90" s="9"/>
    </x:row>
    <x:row r="91" ht="25" customHeight="1">
      <x:c r="A91" s="9"/>
      <x:c r="B91" s="9"/>
      <x:c r="C91" s="9"/>
      <x:c r="D91" s="9"/>
      <x:c r="E91" s="9"/>
      <x:c r="F91" s="9"/>
      <x:c r="G91" s="9"/>
      <x:c r="H91" s="9"/>
      <x:c r="I91" s="9"/>
      <x:c r="J91" s="9"/>
      <x:c r="K91" s="9"/>
      <x:c r="L91" s="9"/>
      <x:c r="M91" s="9"/>
    </x:row>
    <x:row r="92" ht="25" customHeight="1">
      <x:c r="A92" s="9"/>
      <x:c r="B92" s="9"/>
      <x:c r="C92" s="9"/>
      <x:c r="D92" s="9"/>
      <x:c r="E92" s="9"/>
      <x:c r="F92" s="9"/>
      <x:c r="G92" s="9"/>
      <x:c r="H92" s="9"/>
      <x:c r="I92" s="9"/>
      <x:c r="J92" s="9"/>
      <x:c r="K92" s="9"/>
      <x:c r="L92" s="9"/>
      <x:c r="M92" s="9"/>
    </x:row>
    <x:row r="93" ht="25" customHeight="1">
      <x:c r="A93" s="9"/>
      <x:c r="B93" s="9"/>
      <x:c r="C93" s="9"/>
      <x:c r="D93" s="9"/>
      <x:c r="E93" s="9"/>
      <x:c r="F93" s="9"/>
      <x:c r="G93" s="9"/>
      <x:c r="H93" s="9"/>
      <x:c r="I93" s="9"/>
      <x:c r="J93" s="9"/>
      <x:c r="K93" s="9"/>
      <x:c r="L93" s="9"/>
      <x:c r="M93" s="9"/>
    </x:row>
    <x:row r="94" ht="25" customHeight="1">
      <x:c r="A94" s="9"/>
      <x:c r="B94" s="9"/>
      <x:c r="C94" s="9"/>
      <x:c r="D94" s="9"/>
      <x:c r="E94" s="9"/>
      <x:c r="F94" s="9"/>
      <x:c r="G94" s="9"/>
      <x:c r="H94" s="9"/>
      <x:c r="I94" s="9"/>
      <x:c r="J94" s="9"/>
      <x:c r="K94" s="9"/>
      <x:c r="L94" s="9"/>
      <x:c r="M94" s="9"/>
    </x:row>
    <x:row r="95" ht="25" customHeight="1">
      <x:c r="A95" s="9"/>
      <x:c r="B95" s="9"/>
      <x:c r="C95" s="9"/>
      <x:c r="D95" s="9"/>
      <x:c r="E95" s="9"/>
      <x:c r="F95" s="9"/>
      <x:c r="G95" s="9"/>
      <x:c r="H95" s="9"/>
      <x:c r="I95" s="9"/>
      <x:c r="J95" s="9"/>
      <x:c r="K95" s="9"/>
      <x:c r="L95" s="9"/>
      <x:c r="M95" s="9"/>
    </x:row>
    <x:row r="96" ht="25" customHeight="1">
      <x:c r="A96" s="9"/>
      <x:c r="B96" s="9"/>
      <x:c r="C96" s="9"/>
      <x:c r="D96" s="9"/>
      <x:c r="E96" s="9"/>
      <x:c r="F96" s="9"/>
      <x:c r="G96" s="9"/>
      <x:c r="H96" s="9"/>
      <x:c r="I96" s="9"/>
      <x:c r="J96" s="9"/>
      <x:c r="K96" s="9"/>
      <x:c r="L96" s="9"/>
      <x:c r="M96" s="9"/>
    </x:row>
    <x:row r="97" ht="25" customHeight="1">
      <x:c r="A97" s="9"/>
      <x:c r="B97" s="9"/>
      <x:c r="C97" s="9"/>
      <x:c r="D97" s="9"/>
      <x:c r="E97" s="9"/>
      <x:c r="F97" s="9"/>
      <x:c r="G97" s="9"/>
      <x:c r="H97" s="9"/>
      <x:c r="I97" s="9"/>
      <x:c r="J97" s="9"/>
      <x:c r="K97" s="9"/>
      <x:c r="L97" s="9"/>
      <x:c r="M97" s="9"/>
    </x:row>
    <x:row r="98" ht="25" customHeight="1">
      <x:c r="A98" s="9"/>
      <x:c r="B98" s="9"/>
      <x:c r="C98" s="9"/>
      <x:c r="D98" s="9"/>
      <x:c r="E98" s="9"/>
      <x:c r="F98" s="9"/>
      <x:c r="G98" s="9"/>
      <x:c r="H98" s="9"/>
      <x:c r="I98" s="9"/>
      <x:c r="J98" s="9"/>
      <x:c r="K98" s="9"/>
      <x:c r="L98" s="9"/>
      <x:c r="M98" s="9"/>
    </x:row>
    <x:row r="99" ht="25" customHeight="1">
      <x:c r="A99" s="9"/>
      <x:c r="B99" s="9"/>
      <x:c r="C99" s="9"/>
      <x:c r="D99" s="9"/>
      <x:c r="E99" s="9"/>
      <x:c r="F99" s="9"/>
      <x:c r="G99" s="9"/>
      <x:c r="H99" s="9"/>
      <x:c r="I99" s="9"/>
      <x:c r="J99" s="9"/>
      <x:c r="K99" s="9"/>
      <x:c r="L99" s="9"/>
      <x:c r="M99" s="9"/>
    </x:row>
    <x:row r="100" ht="25" customHeight="1">
      <x:c r="A100" s="9"/>
      <x:c r="B100" s="9"/>
      <x:c r="C100" s="9"/>
      <x:c r="D100" s="9"/>
      <x:c r="E100" s="9"/>
      <x:c r="F100" s="9"/>
      <x:c r="G100" s="9"/>
      <x:c r="H100" s="9"/>
      <x:c r="I100" s="9"/>
      <x:c r="J100" s="9"/>
      <x:c r="K100" s="9"/>
      <x:c r="L100" s="9"/>
      <x:c r="M100" s="9"/>
    </x:row>
    <x:row r="101" ht="25" customHeight="1">
      <x:c r="A101" s="9"/>
      <x:c r="B101" s="9"/>
      <x:c r="C101" s="9"/>
      <x:c r="D101" s="9"/>
      <x:c r="E101" s="9"/>
      <x:c r="F101" s="9"/>
      <x:c r="G101" s="9"/>
      <x:c r="H101" s="9"/>
      <x:c r="I101" s="9"/>
      <x:c r="J101" s="9"/>
      <x:c r="K101" s="9"/>
      <x:c r="L101" s="9"/>
      <x:c r="M101" s="9"/>
    </x:row>
    <x:row r="102" ht="25" customHeight="1">
      <x:c r="A102" s="9"/>
      <x:c r="B102" s="9"/>
      <x:c r="C102" s="9"/>
      <x:c r="D102" s="9"/>
      <x:c r="E102" s="9"/>
      <x:c r="F102" s="9"/>
      <x:c r="G102" s="9"/>
      <x:c r="H102" s="9"/>
      <x:c r="I102" s="9"/>
      <x:c r="J102" s="9"/>
      <x:c r="K102" s="9"/>
      <x:c r="L102" s="9"/>
      <x:c r="M102" s="9"/>
    </x:row>
    <x:row r="103" ht="25" customHeight="1">
      <x:c r="A103" s="9"/>
      <x:c r="B103" s="9"/>
      <x:c r="C103" s="9"/>
      <x:c r="D103" s="9"/>
      <x:c r="E103" s="9"/>
      <x:c r="F103" s="9"/>
      <x:c r="G103" s="9"/>
      <x:c r="H103" s="9"/>
      <x:c r="I103" s="9"/>
      <x:c r="J103" s="9"/>
      <x:c r="K103" s="9"/>
      <x:c r="L103" s="9"/>
      <x:c r="M103" s="9"/>
    </x:row>
    <x:row r="104" ht="25" customHeight="1">
      <x:c r="A104" s="9"/>
      <x:c r="B104" s="9"/>
      <x:c r="C104" s="9"/>
      <x:c r="D104" s="9"/>
      <x:c r="E104" s="9"/>
      <x:c r="F104" s="9"/>
      <x:c r="G104" s="9"/>
      <x:c r="H104" s="9"/>
      <x:c r="I104" s="9"/>
      <x:c r="J104" s="9"/>
      <x:c r="K104" s="9"/>
      <x:c r="L104" s="9"/>
      <x:c r="M104" s="9"/>
    </x:row>
    <x:row r="105" ht="25" customHeight="1">
      <x:c r="A105" s="9"/>
      <x:c r="B105" s="9"/>
      <x:c r="C105" s="9"/>
      <x:c r="D105" s="9"/>
      <x:c r="E105" s="9"/>
      <x:c r="F105" s="9"/>
      <x:c r="G105" s="9"/>
      <x:c r="H105" s="9"/>
      <x:c r="I105" s="9"/>
      <x:c r="J105" s="9"/>
      <x:c r="K105" s="9"/>
      <x:c r="L105" s="9"/>
      <x:c r="M105" s="9"/>
    </x:row>
    <x:row r="106" ht="25" customHeight="1">
      <x:c r="A106" s="9"/>
      <x:c r="B106" s="9"/>
      <x:c r="C106" s="9"/>
      <x:c r="D106" s="9"/>
      <x:c r="E106" s="9"/>
      <x:c r="F106" s="9"/>
      <x:c r="G106" s="9"/>
      <x:c r="H106" s="9"/>
      <x:c r="I106" s="9"/>
      <x:c r="J106" s="9"/>
      <x:c r="K106" s="9"/>
      <x:c r="L106" s="9"/>
      <x:c r="M106" s="9"/>
    </x:row>
    <x:row r="107" ht="25" customHeight="1">
      <x:c r="A107" s="9"/>
      <x:c r="B107" s="9"/>
      <x:c r="C107" s="9"/>
      <x:c r="D107" s="9"/>
      <x:c r="E107" s="9"/>
      <x:c r="F107" s="9"/>
      <x:c r="G107" s="9"/>
      <x:c r="H107" s="9"/>
      <x:c r="I107" s="9"/>
      <x:c r="J107" s="9"/>
      <x:c r="K107" s="9"/>
      <x:c r="L107" s="9"/>
      <x:c r="M107" s="9"/>
    </x:row>
    <x:row r="108" ht="25" customHeight="1">
      <x:c r="A108" s="9"/>
      <x:c r="B108" s="9"/>
      <x:c r="C108" s="9"/>
      <x:c r="D108" s="9"/>
      <x:c r="E108" s="9"/>
      <x:c r="F108" s="9"/>
      <x:c r="G108" s="9"/>
      <x:c r="H108" s="9"/>
      <x:c r="I108" s="9"/>
      <x:c r="J108" s="9"/>
      <x:c r="K108" s="9"/>
      <x:c r="L108" s="9"/>
      <x:c r="M108" s="9"/>
    </x:row>
    <x:row r="109" ht="25" customHeight="1">
      <x:c r="A109" s="9"/>
      <x:c r="B109" s="9"/>
      <x:c r="C109" s="9"/>
      <x:c r="D109" s="9"/>
      <x:c r="E109" s="9"/>
      <x:c r="F109" s="9"/>
      <x:c r="G109" s="9"/>
      <x:c r="H109" s="9"/>
      <x:c r="I109" s="9"/>
      <x:c r="J109" s="9"/>
      <x:c r="K109" s="9"/>
      <x:c r="L109" s="9"/>
      <x:c r="M109" s="9"/>
    </x:row>
    <x:row r="110" ht="25" customHeight="1">
      <x:c r="A110" s="9"/>
      <x:c r="B110" s="9"/>
      <x:c r="C110" s="9"/>
      <x:c r="D110" s="9"/>
      <x:c r="E110" s="9"/>
      <x:c r="F110" s="9"/>
      <x:c r="G110" s="9"/>
      <x:c r="H110" s="9"/>
      <x:c r="I110" s="9"/>
      <x:c r="J110" s="9"/>
      <x:c r="K110" s="9"/>
      <x:c r="L110" s="9"/>
      <x:c r="M110" s="9"/>
    </x:row>
    <x:row r="111" ht="25" customHeight="1">
      <x:c r="A111" s="9"/>
      <x:c r="B111" s="9"/>
      <x:c r="C111" s="9"/>
      <x:c r="D111" s="9"/>
      <x:c r="E111" s="9"/>
      <x:c r="F111" s="9"/>
      <x:c r="G111" s="9"/>
      <x:c r="H111" s="9"/>
      <x:c r="I111" s="9"/>
      <x:c r="J111" s="9"/>
      <x:c r="K111" s="9"/>
      <x:c r="L111" s="9"/>
      <x:c r="M111" s="9"/>
    </x:row>
    <x:row r="112" ht="25" customHeight="1">
      <x:c r="A112" s="9"/>
      <x:c r="B112" s="9"/>
      <x:c r="C112" s="9"/>
      <x:c r="D112" s="9"/>
      <x:c r="E112" s="9"/>
      <x:c r="F112" s="9"/>
      <x:c r="G112" s="9"/>
      <x:c r="H112" s="9"/>
      <x:c r="I112" s="9"/>
      <x:c r="J112" s="9"/>
      <x:c r="K112" s="9"/>
      <x:c r="L112" s="9"/>
      <x:c r="M112" s="9"/>
    </x:row>
    <x:row r="113" ht="25" customHeight="1">
      <x:c r="A113" s="9"/>
      <x:c r="B113" s="9"/>
      <x:c r="C113" s="9"/>
      <x:c r="D113" s="9"/>
      <x:c r="E113" s="9"/>
      <x:c r="F113" s="9"/>
      <x:c r="G113" s="9"/>
      <x:c r="H113" s="9"/>
      <x:c r="I113" s="9"/>
      <x:c r="J113" s="9"/>
      <x:c r="K113" s="9"/>
      <x:c r="L113" s="9"/>
      <x:c r="M113" s="9"/>
    </x:row>
    <x:row r="114" ht="25" customHeight="1">
      <x:c r="A114" s="9"/>
      <x:c r="B114" s="9"/>
      <x:c r="C114" s="9"/>
      <x:c r="D114" s="9"/>
      <x:c r="E114" s="9"/>
      <x:c r="F114" s="9"/>
      <x:c r="G114" s="9"/>
      <x:c r="H114" s="9"/>
      <x:c r="I114" s="9"/>
      <x:c r="J114" s="9"/>
      <x:c r="K114" s="9"/>
      <x:c r="L114" s="9"/>
      <x:c r="M114" s="9"/>
    </x:row>
    <x:row r="115" ht="25" customHeight="1">
      <x:c r="A115" s="9"/>
      <x:c r="B115" s="9"/>
      <x:c r="C115" s="9"/>
      <x:c r="D115" s="9"/>
      <x:c r="E115" s="9"/>
      <x:c r="F115" s="9"/>
      <x:c r="G115" s="9"/>
      <x:c r="H115" s="9"/>
      <x:c r="I115" s="9"/>
      <x:c r="J115" s="9"/>
      <x:c r="K115" s="9"/>
      <x:c r="L115" s="9"/>
      <x:c r="M115" s="9"/>
    </x:row>
    <x:row r="116" ht="25" customHeight="1">
      <x:c r="A116" s="9"/>
      <x:c r="B116" s="9"/>
      <x:c r="C116" s="9"/>
      <x:c r="D116" s="9"/>
      <x:c r="E116" s="9"/>
      <x:c r="F116" s="9"/>
      <x:c r="G116" s="9"/>
      <x:c r="H116" s="9"/>
      <x:c r="I116" s="9"/>
      <x:c r="J116" s="9"/>
      <x:c r="K116" s="9"/>
      <x:c r="L116" s="9"/>
      <x:c r="M116" s="9"/>
    </x:row>
    <x:row r="117" ht="25" customHeight="1">
      <x:c r="A117" s="9"/>
      <x:c r="B117" s="9"/>
      <x:c r="C117" s="9"/>
      <x:c r="D117" s="9"/>
      <x:c r="E117" s="9"/>
      <x:c r="F117" s="9"/>
      <x:c r="G117" s="9"/>
      <x:c r="H117" s="9"/>
      <x:c r="I117" s="9"/>
      <x:c r="J117" s="9"/>
      <x:c r="K117" s="9"/>
      <x:c r="L117" s="9"/>
      <x:c r="M117" s="9"/>
    </x:row>
    <x:row r="118" ht="25" customHeight="1">
      <x:c r="A118" s="9"/>
      <x:c r="B118" s="9"/>
      <x:c r="C118" s="9"/>
      <x:c r="D118" s="9"/>
      <x:c r="E118" s="9"/>
      <x:c r="F118" s="9"/>
      <x:c r="G118" s="9"/>
      <x:c r="H118" s="9"/>
      <x:c r="I118" s="9"/>
      <x:c r="J118" s="9"/>
      <x:c r="K118" s="9"/>
      <x:c r="L118" s="9"/>
      <x:c r="M118" s="9"/>
    </x:row>
    <x:row r="119" ht="25" customHeight="1">
      <x:c r="A119" s="9"/>
      <x:c r="B119" s="9"/>
      <x:c r="C119" s="9"/>
      <x:c r="D119" s="9"/>
      <x:c r="E119" s="9"/>
      <x:c r="F119" s="9"/>
      <x:c r="G119" s="9"/>
      <x:c r="H119" s="9"/>
      <x:c r="I119" s="9"/>
      <x:c r="J119" s="9"/>
      <x:c r="K119" s="9"/>
      <x:c r="L119" s="9"/>
      <x:c r="M119" s="9"/>
    </x:row>
    <x:row r="120" ht="25" customHeight="1">
      <x:c r="A120" s="9"/>
      <x:c r="B120" s="9"/>
      <x:c r="C120" s="9"/>
      <x:c r="D120" s="9"/>
      <x:c r="E120" s="9"/>
      <x:c r="F120" s="9"/>
      <x:c r="G120" s="9"/>
      <x:c r="H120" s="9"/>
      <x:c r="I120" s="9"/>
      <x:c r="J120" s="9"/>
      <x:c r="K120" s="9"/>
      <x:c r="L120" s="9"/>
      <x:c r="M120" s="9"/>
    </x:row>
  </x:sheetData>
  <x:mergeCells>
    <x:mergeCell ref="A1:M2"/>
    <x:mergeCell ref="A3:M4"/>
  </x:mergeCells>
  <x:dataValidations count="1">
    <x:dataValidation type="list" sqref="K7:K14">
      <x:formula1>"MTO,MTS"</x:formula1>
    </x:dataValidation>
  </x:dataValidations>
  <x:pageMargins left="0.7" right="0.7" top="0.75" bottom="0.75" header="0.3" footer="0.3"/>
</x:worksheet>
</file>

<file path=xl/worksheets/sheet6.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s>
  <x:sheetData>
    <x:row r="1" ht="24" customHeight="1">
      <x:c r="A1" s="2" t="str">
        <x:v>Demand and supply inputs</x:v>
      </x:c>
      <x:c r="B1" s="2"/>
      <x:c r="C1" s="2"/>
      <x:c r="D1" s="2"/>
      <x:c r="E1" s="2"/>
      <x:c r="F1" s="2"/>
      <x:c r="G1" s="2"/>
    </x:row>
    <x:row r="2" ht="24" customHeight="1">
      <x:c r="A2" s="2"/>
      <x:c r="B2" s="2"/>
      <x:c r="C2" s="2"/>
      <x:c r="D2" s="2"/>
      <x:c r="E2" s="2"/>
      <x:c r="F2" s="2"/>
      <x:c r="G2" s="2"/>
    </x:row>
    <x:row r="3" ht="22" customHeight="1">
      <x:c r="A3" s="4" t="str">
        <x:v>12 months × 4 products × 2 warehouses. Inbound = existing confirmed receipts, excluding new production. Adjustment = signed change to suggested production.</x:v>
      </x:c>
      <x:c r="B3" s="4"/>
      <x:c r="C3" s="4"/>
      <x:c r="D3" s="4"/>
      <x:c r="E3" s="4"/>
      <x:c r="F3" s="4"/>
      <x:c r="G3" s="4"/>
    </x:row>
    <x:row r="4" ht="22" customHeight="1">
      <x:c r="A4" s="4"/>
      <x:c r="B4" s="4"/>
      <x:c r="C4" s="4"/>
      <x:c r="D4" s="4"/>
      <x:c r="E4" s="4"/>
      <x:c r="F4" s="4"/>
      <x:c r="G4" s="4"/>
    </x:row>
    <x:row r="6" ht="36" customHeight="1">
      <x:c r="A6" s="7" t="str">
        <x:v>Month</x:v>
      </x:c>
      <x:c r="B6" s="7" t="str">
        <x:v>Warehouse</x:v>
      </x:c>
      <x:c r="C6" s="7" t="str">
        <x:v>SKU</x:v>
      </x:c>
      <x:c r="D6" s="7" t="str">
        <x:v>Forecast</x:v>
      </x:c>
      <x:c r="E6" s="7" t="str">
        <x:v>Firm orders</x:v>
      </x:c>
      <x:c r="F6" s="7" t="str">
        <x:v>Inbound</x:v>
      </x:c>
      <x:c r="G6" s="7" t="str">
        <x:v>Production adj.</x:v>
      </x:c>
    </x:row>
    <x:row r="7" ht="25" customHeight="1">
      <x:c r="A7" s="13" t="d">
        <x:v>2027-01-01T00:00:00.000Z</x:v>
      </x:c>
      <x:c r="B7" s="10" t="str">
        <x:v>WH-1</x:v>
      </x:c>
      <x:c r="C7" s="10" t="str">
        <x:v>DEMO-01</x:v>
      </x:c>
      <x:c r="D7" s="14" t="n">
        <x:v>7000</x:v>
      </x:c>
      <x:c r="E7" s="14" t="n">
        <x:v>4550</x:v>
      </x:c>
      <x:c r="F7" s="14" t="n">
        <x:v>1200</x:v>
      </x:c>
      <x:c r="G7" s="14" t="n">
        <x:v>0</x:v>
      </x:c>
    </x:row>
    <x:row r="8" ht="25" customHeight="1">
      <x:c r="A8" s="13" t="d">
        <x:v>2027-01-01T00:00:00.000Z</x:v>
      </x:c>
      <x:c r="B8" s="10" t="str">
        <x:v>WH-2</x:v>
      </x:c>
      <x:c r="C8" s="10" t="str">
        <x:v>DEMO-01</x:v>
      </x:c>
      <x:c r="D8" s="14" t="n">
        <x:v>8600</x:v>
      </x:c>
      <x:c r="E8" s="14" t="n">
        <x:v>5590</x:v>
      </x:c>
      <x:c r="F8" s="14" t="n">
        <x:v>1200</x:v>
      </x:c>
      <x:c r="G8" s="14" t="n">
        <x:v>0</x:v>
      </x:c>
    </x:row>
    <x:row r="9" ht="25" customHeight="1">
      <x:c r="A9" s="13" t="d">
        <x:v>2027-01-01T00:00:00.000Z</x:v>
      </x:c>
      <x:c r="B9" s="10" t="str">
        <x:v>WH-1</x:v>
      </x:c>
      <x:c r="C9" s="10" t="str">
        <x:v>DEMO-02</x:v>
      </x:c>
      <x:c r="D9" s="14" t="n">
        <x:v>8300</x:v>
      </x:c>
      <x:c r="E9" s="14" t="n">
        <x:v>5395</x:v>
      </x:c>
      <x:c r="F9" s="14" t="n">
        <x:v>1200</x:v>
      </x:c>
      <x:c r="G9" s="14" t="n">
        <x:v>0</x:v>
      </x:c>
    </x:row>
    <x:row r="10" ht="25" customHeight="1">
      <x:c r="A10" s="13" t="d">
        <x:v>2027-01-01T00:00:00.000Z</x:v>
      </x:c>
      <x:c r="B10" s="10" t="str">
        <x:v>WH-2</x:v>
      </x:c>
      <x:c r="C10" s="10" t="str">
        <x:v>DEMO-02</x:v>
      </x:c>
      <x:c r="D10" s="14" t="n">
        <x:v>9900</x:v>
      </x:c>
      <x:c r="E10" s="14" t="n">
        <x:v>6435</x:v>
      </x:c>
      <x:c r="F10" s="14" t="n">
        <x:v>1200</x:v>
      </x:c>
      <x:c r="G10" s="14" t="n">
        <x:v>0</x:v>
      </x:c>
    </x:row>
    <x:row r="11" ht="25" customHeight="1">
      <x:c r="A11" s="13" t="d">
        <x:v>2027-01-01T00:00:00.000Z</x:v>
      </x:c>
      <x:c r="B11" s="10" t="str">
        <x:v>WH-1</x:v>
      </x:c>
      <x:c r="C11" s="10" t="str">
        <x:v>DEMO-03</x:v>
      </x:c>
      <x:c r="D11" s="14" t="n">
        <x:v>9600</x:v>
      </x:c>
      <x:c r="E11" s="14" t="n">
        <x:v>6240</x:v>
      </x:c>
      <x:c r="F11" s="14" t="n">
        <x:v>1200</x:v>
      </x:c>
      <x:c r="G11" s="14" t="n">
        <x:v>0</x:v>
      </x:c>
    </x:row>
    <x:row r="12" ht="25" customHeight="1">
      <x:c r="A12" s="13" t="d">
        <x:v>2027-01-01T00:00:00.000Z</x:v>
      </x:c>
      <x:c r="B12" s="10" t="str">
        <x:v>WH-2</x:v>
      </x:c>
      <x:c r="C12" s="10" t="str">
        <x:v>DEMO-03</x:v>
      </x:c>
      <x:c r="D12" s="14" t="n">
        <x:v>11200</x:v>
      </x:c>
      <x:c r="E12" s="14" t="n">
        <x:v>7280</x:v>
      </x:c>
      <x:c r="F12" s="14" t="n">
        <x:v>1200</x:v>
      </x:c>
      <x:c r="G12" s="14" t="n">
        <x:v>0</x:v>
      </x:c>
    </x:row>
    <x:row r="13" ht="25" customHeight="1">
      <x:c r="A13" s="13" t="d">
        <x:v>2027-01-01T00:00:00.000Z</x:v>
      </x:c>
      <x:c r="B13" s="10" t="str">
        <x:v>WH-1</x:v>
      </x:c>
      <x:c r="C13" s="10" t="str">
        <x:v>DEMO-04</x:v>
      </x:c>
      <x:c r="D13" s="14" t="n">
        <x:v>10900</x:v>
      </x:c>
      <x:c r="E13" s="14" t="n">
        <x:v>10900</x:v>
      </x:c>
      <x:c r="F13" s="14" t="n">
        <x:v>1200</x:v>
      </x:c>
      <x:c r="G13" s="14" t="n">
        <x:v>0</x:v>
      </x:c>
    </x:row>
    <x:row r="14" ht="25" customHeight="1">
      <x:c r="A14" s="13" t="d">
        <x:v>2027-01-01T00:00:00.000Z</x:v>
      </x:c>
      <x:c r="B14" s="10" t="str">
        <x:v>WH-2</x:v>
      </x:c>
      <x:c r="C14" s="10" t="str">
        <x:v>DEMO-04</x:v>
      </x:c>
      <x:c r="D14" s="14" t="n">
        <x:v>12500</x:v>
      </x:c>
      <x:c r="E14" s="14" t="n">
        <x:v>12500</x:v>
      </x:c>
      <x:c r="F14" s="14" t="n">
        <x:v>1200</x:v>
      </x:c>
      <x:c r="G14" s="14" t="n">
        <x:v>0</x:v>
      </x:c>
    </x:row>
    <x:row r="15" ht="25" customHeight="1">
      <x:c r="A15" s="13" t="d">
        <x:v>2027-02-01T00:00:00.000Z</x:v>
      </x:c>
      <x:c r="B15" s="10" t="str">
        <x:v>WH-1</x:v>
      </x:c>
      <x:c r="C15" s="10" t="str">
        <x:v>DEMO-01</x:v>
      </x:c>
      <x:c r="D15" s="14" t="n">
        <x:v>7245</x:v>
      </x:c>
      <x:c r="E15" s="14" t="n">
        <x:v>4709</x:v>
      </x:c>
      <x:c r="F15" s="14" t="n">
        <x:v>0</x:v>
      </x:c>
      <x:c r="G15" s="14" t="n">
        <x:v>0</x:v>
      </x:c>
    </x:row>
    <x:row r="16" ht="25" customHeight="1">
      <x:c r="A16" s="13" t="d">
        <x:v>2027-02-01T00:00:00.000Z</x:v>
      </x:c>
      <x:c r="B16" s="10" t="str">
        <x:v>WH-2</x:v>
      </x:c>
      <x:c r="C16" s="10" t="str">
        <x:v>DEMO-01</x:v>
      </x:c>
      <x:c r="D16" s="14" t="n">
        <x:v>8901</x:v>
      </x:c>
      <x:c r="E16" s="14" t="n">
        <x:v>5786</x:v>
      </x:c>
      <x:c r="F16" s="14" t="n">
        <x:v>0</x:v>
      </x:c>
      <x:c r="G16" s="14" t="n">
        <x:v>0</x:v>
      </x:c>
    </x:row>
    <x:row r="17" ht="25" customHeight="1">
      <x:c r="A17" s="13" t="d">
        <x:v>2027-02-01T00:00:00.000Z</x:v>
      </x:c>
      <x:c r="B17" s="10" t="str">
        <x:v>WH-1</x:v>
      </x:c>
      <x:c r="C17" s="10" t="str">
        <x:v>DEMO-02</x:v>
      </x:c>
      <x:c r="D17" s="14" t="n">
        <x:v>8591</x:v>
      </x:c>
      <x:c r="E17" s="14" t="n">
        <x:v>5584</x:v>
      </x:c>
      <x:c r="F17" s="14" t="n">
        <x:v>0</x:v>
      </x:c>
      <x:c r="G17" s="14" t="n">
        <x:v>0</x:v>
      </x:c>
    </x:row>
    <x:row r="18" ht="25" customHeight="1">
      <x:c r="A18" s="13" t="d">
        <x:v>2027-02-01T00:00:00.000Z</x:v>
      </x:c>
      <x:c r="B18" s="10" t="str">
        <x:v>WH-2</x:v>
      </x:c>
      <x:c r="C18" s="10" t="str">
        <x:v>DEMO-02</x:v>
      </x:c>
      <x:c r="D18" s="14" t="n">
        <x:v>10247</x:v>
      </x:c>
      <x:c r="E18" s="14" t="n">
        <x:v>6661</x:v>
      </x:c>
      <x:c r="F18" s="14" t="n">
        <x:v>0</x:v>
      </x:c>
      <x:c r="G18" s="14" t="n">
        <x:v>0</x:v>
      </x:c>
    </x:row>
    <x:row r="19" ht="25" customHeight="1">
      <x:c r="A19" s="13" t="d">
        <x:v>2027-02-01T00:00:00.000Z</x:v>
      </x:c>
      <x:c r="B19" s="10" t="str">
        <x:v>WH-1</x:v>
      </x:c>
      <x:c r="C19" s="10" t="str">
        <x:v>DEMO-03</x:v>
      </x:c>
      <x:c r="D19" s="14" t="n">
        <x:v>9936</x:v>
      </x:c>
      <x:c r="E19" s="14" t="n">
        <x:v>6458</x:v>
      </x:c>
      <x:c r="F19" s="14" t="n">
        <x:v>0</x:v>
      </x:c>
      <x:c r="G19" s="14" t="n">
        <x:v>0</x:v>
      </x:c>
    </x:row>
    <x:row r="20" ht="25" customHeight="1">
      <x:c r="A20" s="13" t="d">
        <x:v>2027-02-01T00:00:00.000Z</x:v>
      </x:c>
      <x:c r="B20" s="10" t="str">
        <x:v>WH-2</x:v>
      </x:c>
      <x:c r="C20" s="10" t="str">
        <x:v>DEMO-03</x:v>
      </x:c>
      <x:c r="D20" s="14" t="n">
        <x:v>11592</x:v>
      </x:c>
      <x:c r="E20" s="14" t="n">
        <x:v>7535</x:v>
      </x:c>
      <x:c r="F20" s="14" t="n">
        <x:v>0</x:v>
      </x:c>
      <x:c r="G20" s="14" t="n">
        <x:v>0</x:v>
      </x:c>
    </x:row>
    <x:row r="21" ht="25" customHeight="1">
      <x:c r="A21" s="13" t="d">
        <x:v>2027-02-01T00:00:00.000Z</x:v>
      </x:c>
      <x:c r="B21" s="10" t="str">
        <x:v>WH-1</x:v>
      </x:c>
      <x:c r="C21" s="10" t="str">
        <x:v>DEMO-04</x:v>
      </x:c>
      <x:c r="D21" s="14" t="n">
        <x:v>11282</x:v>
      </x:c>
      <x:c r="E21" s="14" t="n">
        <x:v>11282</x:v>
      </x:c>
      <x:c r="F21" s="14" t="n">
        <x:v>0</x:v>
      </x:c>
      <x:c r="G21" s="14" t="n">
        <x:v>0</x:v>
      </x:c>
    </x:row>
    <x:row r="22" ht="25" customHeight="1">
      <x:c r="A22" s="13" t="d">
        <x:v>2027-02-01T00:00:00.000Z</x:v>
      </x:c>
      <x:c r="B22" s="10" t="str">
        <x:v>WH-2</x:v>
      </x:c>
      <x:c r="C22" s="10" t="str">
        <x:v>DEMO-04</x:v>
      </x:c>
      <x:c r="D22" s="14" t="n">
        <x:v>12937</x:v>
      </x:c>
      <x:c r="E22" s="14" t="n">
        <x:v>12937</x:v>
      </x:c>
      <x:c r="F22" s="14" t="n">
        <x:v>0</x:v>
      </x:c>
      <x:c r="G22" s="14" t="n">
        <x:v>0</x:v>
      </x:c>
    </x:row>
    <x:row r="23" ht="25" customHeight="1">
      <x:c r="A23" s="13" t="d">
        <x:v>2027-03-01T00:00:00.000Z</x:v>
      </x:c>
      <x:c r="B23" s="10" t="str">
        <x:v>WH-1</x:v>
      </x:c>
      <x:c r="C23" s="10" t="str">
        <x:v>DEMO-01</x:v>
      </x:c>
      <x:c r="D23" s="14" t="n">
        <x:v>7490</x:v>
      </x:c>
      <x:c r="E23" s="14" t="n">
        <x:v>4869</x:v>
      </x:c>
      <x:c r="F23" s="14" t="n">
        <x:v>0</x:v>
      </x:c>
      <x:c r="G23" s="14" t="n">
        <x:v>0</x:v>
      </x:c>
    </x:row>
    <x:row r="24" ht="25" customHeight="1">
      <x:c r="A24" s="13" t="d">
        <x:v>2027-03-01T00:00:00.000Z</x:v>
      </x:c>
      <x:c r="B24" s="10" t="str">
        <x:v>WH-2</x:v>
      </x:c>
      <x:c r="C24" s="10" t="str">
        <x:v>DEMO-01</x:v>
      </x:c>
      <x:c r="D24" s="14" t="n">
        <x:v>9202</x:v>
      </x:c>
      <x:c r="E24" s="14" t="n">
        <x:v>5981</x:v>
      </x:c>
      <x:c r="F24" s="14" t="n">
        <x:v>0</x:v>
      </x:c>
      <x:c r="G24" s="14" t="n">
        <x:v>0</x:v>
      </x:c>
    </x:row>
    <x:row r="25" ht="25" customHeight="1">
      <x:c r="A25" s="13" t="d">
        <x:v>2027-03-01T00:00:00.000Z</x:v>
      </x:c>
      <x:c r="B25" s="10" t="str">
        <x:v>WH-1</x:v>
      </x:c>
      <x:c r="C25" s="10" t="str">
        <x:v>DEMO-02</x:v>
      </x:c>
      <x:c r="D25" s="14" t="n">
        <x:v>8881</x:v>
      </x:c>
      <x:c r="E25" s="14" t="n">
        <x:v>5773</x:v>
      </x:c>
      <x:c r="F25" s="14" t="n">
        <x:v>0</x:v>
      </x:c>
      <x:c r="G25" s="14" t="n">
        <x:v>0</x:v>
      </x:c>
    </x:row>
    <x:row r="26" ht="25" customHeight="1">
      <x:c r="A26" s="13" t="d">
        <x:v>2027-03-01T00:00:00.000Z</x:v>
      </x:c>
      <x:c r="B26" s="10" t="str">
        <x:v>WH-2</x:v>
      </x:c>
      <x:c r="C26" s="10" t="str">
        <x:v>DEMO-02</x:v>
      </x:c>
      <x:c r="D26" s="14" t="n">
        <x:v>10593</x:v>
      </x:c>
      <x:c r="E26" s="14" t="n">
        <x:v>6885</x:v>
      </x:c>
      <x:c r="F26" s="14" t="n">
        <x:v>0</x:v>
      </x:c>
      <x:c r="G26" s="14" t="n">
        <x:v>0</x:v>
      </x:c>
    </x:row>
    <x:row r="27" ht="25" customHeight="1">
      <x:c r="A27" s="13" t="d">
        <x:v>2027-03-01T00:00:00.000Z</x:v>
      </x:c>
      <x:c r="B27" s="10" t="str">
        <x:v>WH-1</x:v>
      </x:c>
      <x:c r="C27" s="10" t="str">
        <x:v>DEMO-03</x:v>
      </x:c>
      <x:c r="D27" s="14" t="n">
        <x:v>10272</x:v>
      </x:c>
      <x:c r="E27" s="14" t="n">
        <x:v>6677</x:v>
      </x:c>
      <x:c r="F27" s="14" t="n">
        <x:v>0</x:v>
      </x:c>
      <x:c r="G27" s="14" t="n">
        <x:v>0</x:v>
      </x:c>
    </x:row>
    <x:row r="28" ht="25" customHeight="1">
      <x:c r="A28" s="13" t="d">
        <x:v>2027-03-01T00:00:00.000Z</x:v>
      </x:c>
      <x:c r="B28" s="10" t="str">
        <x:v>WH-2</x:v>
      </x:c>
      <x:c r="C28" s="10" t="str">
        <x:v>DEMO-03</x:v>
      </x:c>
      <x:c r="D28" s="14" t="n">
        <x:v>11984</x:v>
      </x:c>
      <x:c r="E28" s="14" t="n">
        <x:v>7790</x:v>
      </x:c>
      <x:c r="F28" s="14" t="n">
        <x:v>0</x:v>
      </x:c>
      <x:c r="G28" s="14" t="n">
        <x:v>0</x:v>
      </x:c>
    </x:row>
    <x:row r="29" ht="25" customHeight="1">
      <x:c r="A29" s="13" t="d">
        <x:v>2027-03-01T00:00:00.000Z</x:v>
      </x:c>
      <x:c r="B29" s="10" t="str">
        <x:v>WH-1</x:v>
      </x:c>
      <x:c r="C29" s="10" t="str">
        <x:v>DEMO-04</x:v>
      </x:c>
      <x:c r="D29" s="14" t="n">
        <x:v>11663</x:v>
      </x:c>
      <x:c r="E29" s="14" t="n">
        <x:v>11663</x:v>
      </x:c>
      <x:c r="F29" s="14" t="n">
        <x:v>0</x:v>
      </x:c>
      <x:c r="G29" s="14" t="n">
        <x:v>0</x:v>
      </x:c>
    </x:row>
    <x:row r="30" ht="25" customHeight="1">
      <x:c r="A30" s="13" t="d">
        <x:v>2027-03-01T00:00:00.000Z</x:v>
      </x:c>
      <x:c r="B30" s="10" t="str">
        <x:v>WH-2</x:v>
      </x:c>
      <x:c r="C30" s="10" t="str">
        <x:v>DEMO-04</x:v>
      </x:c>
      <x:c r="D30" s="14" t="n">
        <x:v>13375</x:v>
      </x:c>
      <x:c r="E30" s="14" t="n">
        <x:v>13375</x:v>
      </x:c>
      <x:c r="F30" s="14" t="n">
        <x:v>0</x:v>
      </x:c>
      <x:c r="G30" s="14" t="n">
        <x:v>0</x:v>
      </x:c>
    </x:row>
    <x:row r="31" ht="25" customHeight="1">
      <x:c r="A31" s="13" t="d">
        <x:v>2027-04-01T00:00:00.000Z</x:v>
      </x:c>
      <x:c r="B31" s="10" t="str">
        <x:v>WH-1</x:v>
      </x:c>
      <x:c r="C31" s="10" t="str">
        <x:v>DEMO-01</x:v>
      </x:c>
      <x:c r="D31" s="14" t="n">
        <x:v>7735</x:v>
      </x:c>
      <x:c r="E31" s="14" t="n">
        <x:v>5028</x:v>
      </x:c>
      <x:c r="F31" s="14" t="n">
        <x:v>0</x:v>
      </x:c>
      <x:c r="G31" s="14" t="n">
        <x:v>0</x:v>
      </x:c>
    </x:row>
    <x:row r="32" ht="25" customHeight="1">
      <x:c r="A32" s="13" t="d">
        <x:v>2027-04-01T00:00:00.000Z</x:v>
      </x:c>
      <x:c r="B32" s="10" t="str">
        <x:v>WH-2</x:v>
      </x:c>
      <x:c r="C32" s="10" t="str">
        <x:v>DEMO-01</x:v>
      </x:c>
      <x:c r="D32" s="14" t="n">
        <x:v>9503</x:v>
      </x:c>
      <x:c r="E32" s="14" t="n">
        <x:v>6177</x:v>
      </x:c>
      <x:c r="F32" s="14" t="n">
        <x:v>0</x:v>
      </x:c>
      <x:c r="G32" s="14" t="n">
        <x:v>0</x:v>
      </x:c>
    </x:row>
    <x:row r="33" ht="25" customHeight="1">
      <x:c r="A33" s="13" t="d">
        <x:v>2027-04-01T00:00:00.000Z</x:v>
      </x:c>
      <x:c r="B33" s="10" t="str">
        <x:v>WH-1</x:v>
      </x:c>
      <x:c r="C33" s="10" t="str">
        <x:v>DEMO-02</x:v>
      </x:c>
      <x:c r="D33" s="14" t="n">
        <x:v>9172</x:v>
      </x:c>
      <x:c r="E33" s="14" t="n">
        <x:v>5962</x:v>
      </x:c>
      <x:c r="F33" s="14" t="n">
        <x:v>0</x:v>
      </x:c>
      <x:c r="G33" s="14" t="n">
        <x:v>0</x:v>
      </x:c>
    </x:row>
    <x:row r="34" ht="25" customHeight="1">
      <x:c r="A34" s="13" t="d">
        <x:v>2027-04-01T00:00:00.000Z</x:v>
      </x:c>
      <x:c r="B34" s="10" t="str">
        <x:v>WH-2</x:v>
      </x:c>
      <x:c r="C34" s="10" t="str">
        <x:v>DEMO-02</x:v>
      </x:c>
      <x:c r="D34" s="14" t="n">
        <x:v>10940</x:v>
      </x:c>
      <x:c r="E34" s="14" t="n">
        <x:v>7111</x:v>
      </x:c>
      <x:c r="F34" s="14" t="n">
        <x:v>0</x:v>
      </x:c>
      <x:c r="G34" s="14" t="n">
        <x:v>0</x:v>
      </x:c>
    </x:row>
    <x:row r="35" ht="25" customHeight="1">
      <x:c r="A35" s="13" t="d">
        <x:v>2027-04-01T00:00:00.000Z</x:v>
      </x:c>
      <x:c r="B35" s="10" t="str">
        <x:v>WH-1</x:v>
      </x:c>
      <x:c r="C35" s="10" t="str">
        <x:v>DEMO-03</x:v>
      </x:c>
      <x:c r="D35" s="14" t="n">
        <x:v>10608</x:v>
      </x:c>
      <x:c r="E35" s="14" t="n">
        <x:v>6895</x:v>
      </x:c>
      <x:c r="F35" s="14" t="n">
        <x:v>0</x:v>
      </x:c>
      <x:c r="G35" s="14" t="n">
        <x:v>0</x:v>
      </x:c>
    </x:row>
    <x:row r="36" ht="25" customHeight="1">
      <x:c r="A36" s="13" t="d">
        <x:v>2027-04-01T00:00:00.000Z</x:v>
      </x:c>
      <x:c r="B36" s="10" t="str">
        <x:v>WH-2</x:v>
      </x:c>
      <x:c r="C36" s="10" t="str">
        <x:v>DEMO-03</x:v>
      </x:c>
      <x:c r="D36" s="14" t="n">
        <x:v>12376</x:v>
      </x:c>
      <x:c r="E36" s="14" t="n">
        <x:v>8044</x:v>
      </x:c>
      <x:c r="F36" s="14" t="n">
        <x:v>0</x:v>
      </x:c>
      <x:c r="G36" s="14" t="n">
        <x:v>0</x:v>
      </x:c>
    </x:row>
    <x:row r="37" ht="25" customHeight="1">
      <x:c r="A37" s="13" t="d">
        <x:v>2027-04-01T00:00:00.000Z</x:v>
      </x:c>
      <x:c r="B37" s="10" t="str">
        <x:v>WH-1</x:v>
      </x:c>
      <x:c r="C37" s="10" t="str">
        <x:v>DEMO-04</x:v>
      </x:c>
      <x:c r="D37" s="14" t="n">
        <x:v>12045</x:v>
      </x:c>
      <x:c r="E37" s="14" t="n">
        <x:v>12045</x:v>
      </x:c>
      <x:c r="F37" s="14" t="n">
        <x:v>0</x:v>
      </x:c>
      <x:c r="G37" s="14" t="n">
        <x:v>0</x:v>
      </x:c>
    </x:row>
    <x:row r="38" ht="25" customHeight="1">
      <x:c r="A38" s="13" t="d">
        <x:v>2027-04-01T00:00:00.000Z</x:v>
      </x:c>
      <x:c r="B38" s="10" t="str">
        <x:v>WH-2</x:v>
      </x:c>
      <x:c r="C38" s="10" t="str">
        <x:v>DEMO-04</x:v>
      </x:c>
      <x:c r="D38" s="14" t="n">
        <x:v>13813</x:v>
      </x:c>
      <x:c r="E38" s="14" t="n">
        <x:v>13813</x:v>
      </x:c>
      <x:c r="F38" s="14" t="n">
        <x:v>0</x:v>
      </x:c>
      <x:c r="G38" s="14" t="n">
        <x:v>0</x:v>
      </x:c>
    </x:row>
    <x:row r="39" ht="25" customHeight="1">
      <x:c r="A39" s="13" t="d">
        <x:v>2027-05-01T00:00:00.000Z</x:v>
      </x:c>
      <x:c r="B39" s="10" t="str">
        <x:v>WH-1</x:v>
      </x:c>
      <x:c r="C39" s="10" t="str">
        <x:v>DEMO-01</x:v>
      </x:c>
      <x:c r="D39" s="14" t="n">
        <x:v>7980</x:v>
      </x:c>
      <x:c r="E39" s="14" t="n">
        <x:v>5187</x:v>
      </x:c>
      <x:c r="F39" s="14" t="n">
        <x:v>0</x:v>
      </x:c>
      <x:c r="G39" s="14" t="n">
        <x:v>0</x:v>
      </x:c>
    </x:row>
    <x:row r="40" ht="25" customHeight="1">
      <x:c r="A40" s="13" t="d">
        <x:v>2027-05-01T00:00:00.000Z</x:v>
      </x:c>
      <x:c r="B40" s="10" t="str">
        <x:v>WH-2</x:v>
      </x:c>
      <x:c r="C40" s="10" t="str">
        <x:v>DEMO-01</x:v>
      </x:c>
      <x:c r="D40" s="14" t="n">
        <x:v>9804</x:v>
      </x:c>
      <x:c r="E40" s="14" t="n">
        <x:v>6373</x:v>
      </x:c>
      <x:c r="F40" s="14" t="n">
        <x:v>0</x:v>
      </x:c>
      <x:c r="G40" s="14" t="n">
        <x:v>0</x:v>
      </x:c>
    </x:row>
    <x:row r="41" ht="25" customHeight="1">
      <x:c r="A41" s="13" t="d">
        <x:v>2027-05-01T00:00:00.000Z</x:v>
      </x:c>
      <x:c r="B41" s="10" t="str">
        <x:v>WH-1</x:v>
      </x:c>
      <x:c r="C41" s="10" t="str">
        <x:v>DEMO-02</x:v>
      </x:c>
      <x:c r="D41" s="14" t="n">
        <x:v>9462</x:v>
      </x:c>
      <x:c r="E41" s="14" t="n">
        <x:v>6150</x:v>
      </x:c>
      <x:c r="F41" s="14" t="n">
        <x:v>0</x:v>
      </x:c>
      <x:c r="G41" s="14" t="n">
        <x:v>0</x:v>
      </x:c>
    </x:row>
    <x:row r="42" ht="25" customHeight="1">
      <x:c r="A42" s="13" t="d">
        <x:v>2027-05-01T00:00:00.000Z</x:v>
      </x:c>
      <x:c r="B42" s="10" t="str">
        <x:v>WH-2</x:v>
      </x:c>
      <x:c r="C42" s="10" t="str">
        <x:v>DEMO-02</x:v>
      </x:c>
      <x:c r="D42" s="14" t="n">
        <x:v>11286</x:v>
      </x:c>
      <x:c r="E42" s="14" t="n">
        <x:v>7336</x:v>
      </x:c>
      <x:c r="F42" s="14" t="n">
        <x:v>0</x:v>
      </x:c>
      <x:c r="G42" s="14" t="n">
        <x:v>0</x:v>
      </x:c>
    </x:row>
    <x:row r="43" ht="25" customHeight="1">
      <x:c r="A43" s="13" t="d">
        <x:v>2027-05-01T00:00:00.000Z</x:v>
      </x:c>
      <x:c r="B43" s="10" t="str">
        <x:v>WH-1</x:v>
      </x:c>
      <x:c r="C43" s="10" t="str">
        <x:v>DEMO-03</x:v>
      </x:c>
      <x:c r="D43" s="14" t="n">
        <x:v>10944</x:v>
      </x:c>
      <x:c r="E43" s="14" t="n">
        <x:v>7114</x:v>
      </x:c>
      <x:c r="F43" s="14" t="n">
        <x:v>0</x:v>
      </x:c>
      <x:c r="G43" s="14" t="n">
        <x:v>0</x:v>
      </x:c>
    </x:row>
    <x:row r="44" ht="25" customHeight="1">
      <x:c r="A44" s="13" t="d">
        <x:v>2027-05-01T00:00:00.000Z</x:v>
      </x:c>
      <x:c r="B44" s="10" t="str">
        <x:v>WH-2</x:v>
      </x:c>
      <x:c r="C44" s="10" t="str">
        <x:v>DEMO-03</x:v>
      </x:c>
      <x:c r="D44" s="14" t="n">
        <x:v>12768</x:v>
      </x:c>
      <x:c r="E44" s="14" t="n">
        <x:v>8299</x:v>
      </x:c>
      <x:c r="F44" s="14" t="n">
        <x:v>0</x:v>
      </x:c>
      <x:c r="G44" s="14" t="n">
        <x:v>0</x:v>
      </x:c>
    </x:row>
    <x:row r="45" ht="25" customHeight="1">
      <x:c r="A45" s="13" t="d">
        <x:v>2027-05-01T00:00:00.000Z</x:v>
      </x:c>
      <x:c r="B45" s="10" t="str">
        <x:v>WH-1</x:v>
      </x:c>
      <x:c r="C45" s="10" t="str">
        <x:v>DEMO-04</x:v>
      </x:c>
      <x:c r="D45" s="14" t="n">
        <x:v>12426</x:v>
      </x:c>
      <x:c r="E45" s="14" t="n">
        <x:v>12426</x:v>
      </x:c>
      <x:c r="F45" s="14" t="n">
        <x:v>0</x:v>
      </x:c>
      <x:c r="G45" s="14" t="n">
        <x:v>0</x:v>
      </x:c>
    </x:row>
    <x:row r="46" ht="25" customHeight="1">
      <x:c r="A46" s="13" t="d">
        <x:v>2027-05-01T00:00:00.000Z</x:v>
      </x:c>
      <x:c r="B46" s="10" t="str">
        <x:v>WH-2</x:v>
      </x:c>
      <x:c r="C46" s="10" t="str">
        <x:v>DEMO-04</x:v>
      </x:c>
      <x:c r="D46" s="14" t="n">
        <x:v>14250</x:v>
      </x:c>
      <x:c r="E46" s="14" t="n">
        <x:v>14250</x:v>
      </x:c>
      <x:c r="F46" s="14" t="n">
        <x:v>0</x:v>
      </x:c>
      <x:c r="G46" s="14" t="n">
        <x:v>0</x:v>
      </x:c>
    </x:row>
    <x:row r="47" ht="25" customHeight="1">
      <x:c r="A47" s="13" t="d">
        <x:v>2027-06-01T00:00:00.000Z</x:v>
      </x:c>
      <x:c r="B47" s="10" t="str">
        <x:v>WH-1</x:v>
      </x:c>
      <x:c r="C47" s="10" t="str">
        <x:v>DEMO-01</x:v>
      </x:c>
      <x:c r="D47" s="14" t="n">
        <x:v>10675</x:v>
      </x:c>
      <x:c r="E47" s="14" t="n">
        <x:v>6939</x:v>
      </x:c>
      <x:c r="F47" s="14" t="n">
        <x:v>0</x:v>
      </x:c>
      <x:c r="G47" s="14" t="n">
        <x:v>0</x:v>
      </x:c>
    </x:row>
    <x:row r="48" ht="25" customHeight="1">
      <x:c r="A48" s="13" t="d">
        <x:v>2027-06-01T00:00:00.000Z</x:v>
      </x:c>
      <x:c r="B48" s="10" t="str">
        <x:v>WH-2</x:v>
      </x:c>
      <x:c r="C48" s="10" t="str">
        <x:v>DEMO-01</x:v>
      </x:c>
      <x:c r="D48" s="14" t="n">
        <x:v>13115</x:v>
      </x:c>
      <x:c r="E48" s="14" t="n">
        <x:v>8525</x:v>
      </x:c>
      <x:c r="F48" s="14" t="n">
        <x:v>0</x:v>
      </x:c>
      <x:c r="G48" s="14" t="n">
        <x:v>0</x:v>
      </x:c>
    </x:row>
    <x:row r="49" ht="25" customHeight="1">
      <x:c r="A49" s="13" t="d">
        <x:v>2027-06-01T00:00:00.000Z</x:v>
      </x:c>
      <x:c r="B49" s="10" t="str">
        <x:v>WH-1</x:v>
      </x:c>
      <x:c r="C49" s="10" t="str">
        <x:v>DEMO-02</x:v>
      </x:c>
      <x:c r="D49" s="14" t="n">
        <x:v>12658</x:v>
      </x:c>
      <x:c r="E49" s="14" t="n">
        <x:v>8228</x:v>
      </x:c>
      <x:c r="F49" s="14" t="n">
        <x:v>0</x:v>
      </x:c>
      <x:c r="G49" s="14" t="n">
        <x:v>0</x:v>
      </x:c>
    </x:row>
    <x:row r="50" ht="25" customHeight="1">
      <x:c r="A50" s="13" t="d">
        <x:v>2027-06-01T00:00:00.000Z</x:v>
      </x:c>
      <x:c r="B50" s="10" t="str">
        <x:v>WH-2</x:v>
      </x:c>
      <x:c r="C50" s="10" t="str">
        <x:v>DEMO-02</x:v>
      </x:c>
      <x:c r="D50" s="14" t="n">
        <x:v>15098</x:v>
      </x:c>
      <x:c r="E50" s="14" t="n">
        <x:v>9814</x:v>
      </x:c>
      <x:c r="F50" s="14" t="n">
        <x:v>0</x:v>
      </x:c>
      <x:c r="G50" s="14" t="n">
        <x:v>0</x:v>
      </x:c>
    </x:row>
    <x:row r="51" ht="25" customHeight="1">
      <x:c r="A51" s="13" t="d">
        <x:v>2027-06-01T00:00:00.000Z</x:v>
      </x:c>
      <x:c r="B51" s="10" t="str">
        <x:v>WH-1</x:v>
      </x:c>
      <x:c r="C51" s="10" t="str">
        <x:v>DEMO-03</x:v>
      </x:c>
      <x:c r="D51" s="14" t="n">
        <x:v>14640</x:v>
      </x:c>
      <x:c r="E51" s="14" t="n">
        <x:v>9516</x:v>
      </x:c>
      <x:c r="F51" s="14" t="n">
        <x:v>0</x:v>
      </x:c>
      <x:c r="G51" s="14" t="n">
        <x:v>0</x:v>
      </x:c>
    </x:row>
    <x:row r="52" ht="25" customHeight="1">
      <x:c r="A52" s="13" t="d">
        <x:v>2027-06-01T00:00:00.000Z</x:v>
      </x:c>
      <x:c r="B52" s="10" t="str">
        <x:v>WH-2</x:v>
      </x:c>
      <x:c r="C52" s="10" t="str">
        <x:v>DEMO-03</x:v>
      </x:c>
      <x:c r="D52" s="14" t="n">
        <x:v>17080</x:v>
      </x:c>
      <x:c r="E52" s="14" t="n">
        <x:v>11102</x:v>
      </x:c>
      <x:c r="F52" s="14" t="n">
        <x:v>0</x:v>
      </x:c>
      <x:c r="G52" s="14" t="n">
        <x:v>0</x:v>
      </x:c>
    </x:row>
    <x:row r="53" ht="25" customHeight="1">
      <x:c r="A53" s="13" t="d">
        <x:v>2027-06-01T00:00:00.000Z</x:v>
      </x:c>
      <x:c r="B53" s="10" t="str">
        <x:v>WH-1</x:v>
      </x:c>
      <x:c r="C53" s="10" t="str">
        <x:v>DEMO-04</x:v>
      </x:c>
      <x:c r="D53" s="14" t="n">
        <x:v>16623</x:v>
      </x:c>
      <x:c r="E53" s="14" t="n">
        <x:v>16623</x:v>
      </x:c>
      <x:c r="F53" s="14" t="n">
        <x:v>0</x:v>
      </x:c>
      <x:c r="G53" s="14" t="n">
        <x:v>0</x:v>
      </x:c>
    </x:row>
    <x:row r="54" ht="25" customHeight="1">
      <x:c r="A54" s="13" t="d">
        <x:v>2027-06-01T00:00:00.000Z</x:v>
      </x:c>
      <x:c r="B54" s="10" t="str">
        <x:v>WH-2</x:v>
      </x:c>
      <x:c r="C54" s="10" t="str">
        <x:v>DEMO-04</x:v>
      </x:c>
      <x:c r="D54" s="14" t="n">
        <x:v>19063</x:v>
      </x:c>
      <x:c r="E54" s="14" t="n">
        <x:v>19063</x:v>
      </x:c>
      <x:c r="F54" s="14" t="n">
        <x:v>0</x:v>
      </x:c>
      <x:c r="G54" s="14" t="n">
        <x:v>0</x:v>
      </x:c>
    </x:row>
    <x:row r="55" ht="25" customHeight="1">
      <x:c r="A55" s="13" t="d">
        <x:v>2027-07-01T00:00:00.000Z</x:v>
      </x:c>
      <x:c r="B55" s="10" t="str">
        <x:v>WH-1</x:v>
      </x:c>
      <x:c r="C55" s="10" t="str">
        <x:v>DEMO-01</x:v>
      </x:c>
      <x:c r="D55" s="14" t="n">
        <x:v>8470</x:v>
      </x:c>
      <x:c r="E55" s="14" t="n">
        <x:v>5506</x:v>
      </x:c>
      <x:c r="F55" s="14" t="n">
        <x:v>0</x:v>
      </x:c>
      <x:c r="G55" s="14" t="n">
        <x:v>0</x:v>
      </x:c>
    </x:row>
    <x:row r="56" ht="25" customHeight="1">
      <x:c r="A56" s="13" t="d">
        <x:v>2027-07-01T00:00:00.000Z</x:v>
      </x:c>
      <x:c r="B56" s="10" t="str">
        <x:v>WH-2</x:v>
      </x:c>
      <x:c r="C56" s="10" t="str">
        <x:v>DEMO-01</x:v>
      </x:c>
      <x:c r="D56" s="14" t="n">
        <x:v>10406</x:v>
      </x:c>
      <x:c r="E56" s="14" t="n">
        <x:v>6764</x:v>
      </x:c>
      <x:c r="F56" s="14" t="n">
        <x:v>0</x:v>
      </x:c>
      <x:c r="G56" s="14" t="n">
        <x:v>0</x:v>
      </x:c>
    </x:row>
    <x:row r="57" ht="25" customHeight="1">
      <x:c r="A57" s="13" t="d">
        <x:v>2027-07-01T00:00:00.000Z</x:v>
      </x:c>
      <x:c r="B57" s="10" t="str">
        <x:v>WH-1</x:v>
      </x:c>
      <x:c r="C57" s="10" t="str">
        <x:v>DEMO-02</x:v>
      </x:c>
      <x:c r="D57" s="14" t="n">
        <x:v>10043</x:v>
      </x:c>
      <x:c r="E57" s="14" t="n">
        <x:v>6528</x:v>
      </x:c>
      <x:c r="F57" s="14" t="n">
        <x:v>0</x:v>
      </x:c>
      <x:c r="G57" s="14" t="n">
        <x:v>0</x:v>
      </x:c>
    </x:row>
    <x:row r="58" ht="25" customHeight="1">
      <x:c r="A58" s="13" t="d">
        <x:v>2027-07-01T00:00:00.000Z</x:v>
      </x:c>
      <x:c r="B58" s="10" t="str">
        <x:v>WH-2</x:v>
      </x:c>
      <x:c r="C58" s="10" t="str">
        <x:v>DEMO-02</x:v>
      </x:c>
      <x:c r="D58" s="14" t="n">
        <x:v>11979</x:v>
      </x:c>
      <x:c r="E58" s="14" t="n">
        <x:v>7786</x:v>
      </x:c>
      <x:c r="F58" s="14" t="n">
        <x:v>0</x:v>
      </x:c>
      <x:c r="G58" s="14" t="n">
        <x:v>0</x:v>
      </x:c>
    </x:row>
    <x:row r="59" ht="25" customHeight="1">
      <x:c r="A59" s="13" t="d">
        <x:v>2027-07-01T00:00:00.000Z</x:v>
      </x:c>
      <x:c r="B59" s="10" t="str">
        <x:v>WH-1</x:v>
      </x:c>
      <x:c r="C59" s="10" t="str">
        <x:v>DEMO-03</x:v>
      </x:c>
      <x:c r="D59" s="14" t="n">
        <x:v>11616</x:v>
      </x:c>
      <x:c r="E59" s="14" t="n">
        <x:v>7550</x:v>
      </x:c>
      <x:c r="F59" s="14" t="n">
        <x:v>0</x:v>
      </x:c>
      <x:c r="G59" s="14" t="n">
        <x:v>0</x:v>
      </x:c>
    </x:row>
    <x:row r="60" ht="25" customHeight="1">
      <x:c r="A60" s="13" t="d">
        <x:v>2027-07-01T00:00:00.000Z</x:v>
      </x:c>
      <x:c r="B60" s="10" t="str">
        <x:v>WH-2</x:v>
      </x:c>
      <x:c r="C60" s="10" t="str">
        <x:v>DEMO-03</x:v>
      </x:c>
      <x:c r="D60" s="14" t="n">
        <x:v>13552</x:v>
      </x:c>
      <x:c r="E60" s="14" t="n">
        <x:v>8809</x:v>
      </x:c>
      <x:c r="F60" s="14" t="n">
        <x:v>0</x:v>
      </x:c>
      <x:c r="G60" s="14" t="n">
        <x:v>0</x:v>
      </x:c>
    </x:row>
    <x:row r="61" ht="25" customHeight="1">
      <x:c r="A61" s="13" t="d">
        <x:v>2027-07-01T00:00:00.000Z</x:v>
      </x:c>
      <x:c r="B61" s="10" t="str">
        <x:v>WH-1</x:v>
      </x:c>
      <x:c r="C61" s="10" t="str">
        <x:v>DEMO-04</x:v>
      </x:c>
      <x:c r="D61" s="14" t="n">
        <x:v>13189</x:v>
      </x:c>
      <x:c r="E61" s="14" t="n">
        <x:v>13189</x:v>
      </x:c>
      <x:c r="F61" s="14" t="n">
        <x:v>0</x:v>
      </x:c>
      <x:c r="G61" s="14" t="n">
        <x:v>0</x:v>
      </x:c>
    </x:row>
    <x:row r="62" ht="25" customHeight="1">
      <x:c r="A62" s="13" t="d">
        <x:v>2027-07-01T00:00:00.000Z</x:v>
      </x:c>
      <x:c r="B62" s="10" t="str">
        <x:v>WH-2</x:v>
      </x:c>
      <x:c r="C62" s="10" t="str">
        <x:v>DEMO-04</x:v>
      </x:c>
      <x:c r="D62" s="14" t="n">
        <x:v>15125</x:v>
      </x:c>
      <x:c r="E62" s="14" t="n">
        <x:v>15125</x:v>
      </x:c>
      <x:c r="F62" s="14" t="n">
        <x:v>0</x:v>
      </x:c>
      <x:c r="G62" s="14" t="n">
        <x:v>0</x:v>
      </x:c>
    </x:row>
    <x:row r="63" ht="25" customHeight="1">
      <x:c r="A63" s="13" t="d">
        <x:v>2027-08-01T00:00:00.000Z</x:v>
      </x:c>
      <x:c r="B63" s="10" t="str">
        <x:v>WH-1</x:v>
      </x:c>
      <x:c r="C63" s="10" t="str">
        <x:v>DEMO-01</x:v>
      </x:c>
      <x:c r="D63" s="14" t="n">
        <x:v>8715</x:v>
      </x:c>
      <x:c r="E63" s="14" t="n">
        <x:v>5665</x:v>
      </x:c>
      <x:c r="F63" s="14" t="n">
        <x:v>0</x:v>
      </x:c>
      <x:c r="G63" s="14" t="n">
        <x:v>0</x:v>
      </x:c>
    </x:row>
    <x:row r="64" ht="25" customHeight="1">
      <x:c r="A64" s="13" t="d">
        <x:v>2027-08-01T00:00:00.000Z</x:v>
      </x:c>
      <x:c r="B64" s="10" t="str">
        <x:v>WH-2</x:v>
      </x:c>
      <x:c r="C64" s="10" t="str">
        <x:v>DEMO-01</x:v>
      </x:c>
      <x:c r="D64" s="14" t="n">
        <x:v>10707</x:v>
      </x:c>
      <x:c r="E64" s="14" t="n">
        <x:v>6960</x:v>
      </x:c>
      <x:c r="F64" s="14" t="n">
        <x:v>0</x:v>
      </x:c>
      <x:c r="G64" s="14" t="n">
        <x:v>0</x:v>
      </x:c>
    </x:row>
    <x:row r="65" ht="25" customHeight="1">
      <x:c r="A65" s="13" t="d">
        <x:v>2027-08-01T00:00:00.000Z</x:v>
      </x:c>
      <x:c r="B65" s="10" t="str">
        <x:v>WH-1</x:v>
      </x:c>
      <x:c r="C65" s="10" t="str">
        <x:v>DEMO-02</x:v>
      </x:c>
      <x:c r="D65" s="14" t="n">
        <x:v>10334</x:v>
      </x:c>
      <x:c r="E65" s="14" t="n">
        <x:v>6717</x:v>
      </x:c>
      <x:c r="F65" s="14" t="n">
        <x:v>0</x:v>
      </x:c>
      <x:c r="G65" s="14" t="n">
        <x:v>0</x:v>
      </x:c>
    </x:row>
    <x:row r="66" ht="25" customHeight="1">
      <x:c r="A66" s="13" t="d">
        <x:v>2027-08-01T00:00:00.000Z</x:v>
      </x:c>
      <x:c r="B66" s="10" t="str">
        <x:v>WH-2</x:v>
      </x:c>
      <x:c r="C66" s="10" t="str">
        <x:v>DEMO-02</x:v>
      </x:c>
      <x:c r="D66" s="14" t="n">
        <x:v>12326</x:v>
      </x:c>
      <x:c r="E66" s="14" t="n">
        <x:v>8012</x:v>
      </x:c>
      <x:c r="F66" s="14" t="n">
        <x:v>0</x:v>
      </x:c>
      <x:c r="G66" s="14" t="n">
        <x:v>0</x:v>
      </x:c>
    </x:row>
    <x:row r="67" ht="25" customHeight="1">
      <x:c r="A67" s="13" t="d">
        <x:v>2027-08-01T00:00:00.000Z</x:v>
      </x:c>
      <x:c r="B67" s="10" t="str">
        <x:v>WH-1</x:v>
      </x:c>
      <x:c r="C67" s="10" t="str">
        <x:v>DEMO-03</x:v>
      </x:c>
      <x:c r="D67" s="14" t="n">
        <x:v>11952</x:v>
      </x:c>
      <x:c r="E67" s="14" t="n">
        <x:v>7769</x:v>
      </x:c>
      <x:c r="F67" s="14" t="n">
        <x:v>0</x:v>
      </x:c>
      <x:c r="G67" s="14" t="n">
        <x:v>0</x:v>
      </x:c>
    </x:row>
    <x:row r="68" ht="25" customHeight="1">
      <x:c r="A68" s="13" t="d">
        <x:v>2027-08-01T00:00:00.000Z</x:v>
      </x:c>
      <x:c r="B68" s="10" t="str">
        <x:v>WH-2</x:v>
      </x:c>
      <x:c r="C68" s="10" t="str">
        <x:v>DEMO-03</x:v>
      </x:c>
      <x:c r="D68" s="14" t="n">
        <x:v>13944</x:v>
      </x:c>
      <x:c r="E68" s="14" t="n">
        <x:v>9064</x:v>
      </x:c>
      <x:c r="F68" s="14" t="n">
        <x:v>0</x:v>
      </x:c>
      <x:c r="G68" s="14" t="n">
        <x:v>0</x:v>
      </x:c>
    </x:row>
    <x:row r="69" ht="25" customHeight="1">
      <x:c r="A69" s="13" t="d">
        <x:v>2027-08-01T00:00:00.000Z</x:v>
      </x:c>
      <x:c r="B69" s="10" t="str">
        <x:v>WH-1</x:v>
      </x:c>
      <x:c r="C69" s="10" t="str">
        <x:v>DEMO-04</x:v>
      </x:c>
      <x:c r="D69" s="14" t="n">
        <x:v>13571</x:v>
      </x:c>
      <x:c r="E69" s="14" t="n">
        <x:v>13571</x:v>
      </x:c>
      <x:c r="F69" s="14" t="n">
        <x:v>0</x:v>
      </x:c>
      <x:c r="G69" s="14" t="n">
        <x:v>0</x:v>
      </x:c>
    </x:row>
    <x:row r="70" ht="25" customHeight="1">
      <x:c r="A70" s="13" t="d">
        <x:v>2027-08-01T00:00:00.000Z</x:v>
      </x:c>
      <x:c r="B70" s="10" t="str">
        <x:v>WH-2</x:v>
      </x:c>
      <x:c r="C70" s="10" t="str">
        <x:v>DEMO-04</x:v>
      </x:c>
      <x:c r="D70" s="14" t="n">
        <x:v>15563</x:v>
      </x:c>
      <x:c r="E70" s="14" t="n">
        <x:v>15563</x:v>
      </x:c>
      <x:c r="F70" s="14" t="n">
        <x:v>0</x:v>
      </x:c>
      <x:c r="G70" s="14" t="n">
        <x:v>0</x:v>
      </x:c>
    </x:row>
    <x:row r="71" ht="25" customHeight="1">
      <x:c r="A71" s="13" t="d">
        <x:v>2027-09-01T00:00:00.000Z</x:v>
      </x:c>
      <x:c r="B71" s="10" t="str">
        <x:v>WH-1</x:v>
      </x:c>
      <x:c r="C71" s="10" t="str">
        <x:v>DEMO-01</x:v>
      </x:c>
      <x:c r="D71" s="14" t="n">
        <x:v>8960</x:v>
      </x:c>
      <x:c r="E71" s="14" t="n">
        <x:v>5824</x:v>
      </x:c>
      <x:c r="F71" s="14" t="n">
        <x:v>0</x:v>
      </x:c>
      <x:c r="G71" s="14" t="n">
        <x:v>0</x:v>
      </x:c>
    </x:row>
    <x:row r="72" ht="25" customHeight="1">
      <x:c r="A72" s="13" t="d">
        <x:v>2027-09-01T00:00:00.000Z</x:v>
      </x:c>
      <x:c r="B72" s="10" t="str">
        <x:v>WH-2</x:v>
      </x:c>
      <x:c r="C72" s="10" t="str">
        <x:v>DEMO-01</x:v>
      </x:c>
      <x:c r="D72" s="14" t="n">
        <x:v>11008</x:v>
      </x:c>
      <x:c r="E72" s="14" t="n">
        <x:v>7155</x:v>
      </x:c>
      <x:c r="F72" s="14" t="n">
        <x:v>0</x:v>
      </x:c>
      <x:c r="G72" s="14" t="n">
        <x:v>0</x:v>
      </x:c>
    </x:row>
    <x:row r="73" ht="25" customHeight="1">
      <x:c r="A73" s="13" t="d">
        <x:v>2027-09-01T00:00:00.000Z</x:v>
      </x:c>
      <x:c r="B73" s="10" t="str">
        <x:v>WH-1</x:v>
      </x:c>
      <x:c r="C73" s="10" t="str">
        <x:v>DEMO-02</x:v>
      </x:c>
      <x:c r="D73" s="14" t="n">
        <x:v>10624</x:v>
      </x:c>
      <x:c r="E73" s="14" t="n">
        <x:v>6906</x:v>
      </x:c>
      <x:c r="F73" s="14" t="n">
        <x:v>0</x:v>
      </x:c>
      <x:c r="G73" s="14" t="n">
        <x:v>0</x:v>
      </x:c>
    </x:row>
    <x:row r="74" ht="25" customHeight="1">
      <x:c r="A74" s="13" t="d">
        <x:v>2027-09-01T00:00:00.000Z</x:v>
      </x:c>
      <x:c r="B74" s="10" t="str">
        <x:v>WH-2</x:v>
      </x:c>
      <x:c r="C74" s="10" t="str">
        <x:v>DEMO-02</x:v>
      </x:c>
      <x:c r="D74" s="14" t="n">
        <x:v>12672</x:v>
      </x:c>
      <x:c r="E74" s="14" t="n">
        <x:v>8237</x:v>
      </x:c>
      <x:c r="F74" s="14" t="n">
        <x:v>0</x:v>
      </x:c>
      <x:c r="G74" s="14" t="n">
        <x:v>0</x:v>
      </x:c>
    </x:row>
    <x:row r="75" ht="25" customHeight="1">
      <x:c r="A75" s="13" t="d">
        <x:v>2027-09-01T00:00:00.000Z</x:v>
      </x:c>
      <x:c r="B75" s="10" t="str">
        <x:v>WH-1</x:v>
      </x:c>
      <x:c r="C75" s="10" t="str">
        <x:v>DEMO-03</x:v>
      </x:c>
      <x:c r="D75" s="14" t="n">
        <x:v>12288</x:v>
      </x:c>
      <x:c r="E75" s="14" t="n">
        <x:v>7987</x:v>
      </x:c>
      <x:c r="F75" s="14" t="n">
        <x:v>0</x:v>
      </x:c>
      <x:c r="G75" s="14" t="n">
        <x:v>0</x:v>
      </x:c>
    </x:row>
    <x:row r="76" ht="25" customHeight="1">
      <x:c r="A76" s="13" t="d">
        <x:v>2027-09-01T00:00:00.000Z</x:v>
      </x:c>
      <x:c r="B76" s="10" t="str">
        <x:v>WH-2</x:v>
      </x:c>
      <x:c r="C76" s="10" t="str">
        <x:v>DEMO-03</x:v>
      </x:c>
      <x:c r="D76" s="14" t="n">
        <x:v>14336</x:v>
      </x:c>
      <x:c r="E76" s="14" t="n">
        <x:v>9318</x:v>
      </x:c>
      <x:c r="F76" s="14" t="n">
        <x:v>0</x:v>
      </x:c>
      <x:c r="G76" s="14" t="n">
        <x:v>0</x:v>
      </x:c>
    </x:row>
    <x:row r="77" ht="25" customHeight="1">
      <x:c r="A77" s="13" t="d">
        <x:v>2027-09-01T00:00:00.000Z</x:v>
      </x:c>
      <x:c r="B77" s="10" t="str">
        <x:v>WH-1</x:v>
      </x:c>
      <x:c r="C77" s="10" t="str">
        <x:v>DEMO-04</x:v>
      </x:c>
      <x:c r="D77" s="14" t="n">
        <x:v>13952</x:v>
      </x:c>
      <x:c r="E77" s="14" t="n">
        <x:v>13952</x:v>
      </x:c>
      <x:c r="F77" s="14" t="n">
        <x:v>0</x:v>
      </x:c>
      <x:c r="G77" s="14" t="n">
        <x:v>0</x:v>
      </x:c>
    </x:row>
    <x:row r="78" ht="25" customHeight="1">
      <x:c r="A78" s="13" t="d">
        <x:v>2027-09-01T00:00:00.000Z</x:v>
      </x:c>
      <x:c r="B78" s="10" t="str">
        <x:v>WH-2</x:v>
      </x:c>
      <x:c r="C78" s="10" t="str">
        <x:v>DEMO-04</x:v>
      </x:c>
      <x:c r="D78" s="14" t="n">
        <x:v>16000</x:v>
      </x:c>
      <x:c r="E78" s="14" t="n">
        <x:v>16000</x:v>
      </x:c>
      <x:c r="F78" s="14" t="n">
        <x:v>0</x:v>
      </x:c>
      <x:c r="G78" s="14" t="n">
        <x:v>0</x:v>
      </x:c>
    </x:row>
    <x:row r="79" ht="25" customHeight="1">
      <x:c r="A79" s="13" t="d">
        <x:v>2027-10-01T00:00:00.000Z</x:v>
      </x:c>
      <x:c r="B79" s="10" t="str">
        <x:v>WH-1</x:v>
      </x:c>
      <x:c r="C79" s="10" t="str">
        <x:v>DEMO-01</x:v>
      </x:c>
      <x:c r="D79" s="14" t="n">
        <x:v>9205</x:v>
      </x:c>
      <x:c r="E79" s="14" t="n">
        <x:v>5983</x:v>
      </x:c>
      <x:c r="F79" s="14" t="n">
        <x:v>0</x:v>
      </x:c>
      <x:c r="G79" s="14" t="n">
        <x:v>0</x:v>
      </x:c>
    </x:row>
    <x:row r="80" ht="25" customHeight="1">
      <x:c r="A80" s="13" t="d">
        <x:v>2027-10-01T00:00:00.000Z</x:v>
      </x:c>
      <x:c r="B80" s="10" t="str">
        <x:v>WH-2</x:v>
      </x:c>
      <x:c r="C80" s="10" t="str">
        <x:v>DEMO-01</x:v>
      </x:c>
      <x:c r="D80" s="14" t="n">
        <x:v>11309</x:v>
      </x:c>
      <x:c r="E80" s="14" t="n">
        <x:v>7351</x:v>
      </x:c>
      <x:c r="F80" s="14" t="n">
        <x:v>0</x:v>
      </x:c>
      <x:c r="G80" s="14" t="n">
        <x:v>0</x:v>
      </x:c>
    </x:row>
    <x:row r="81" ht="25" customHeight="1">
      <x:c r="A81" s="13" t="d">
        <x:v>2027-10-01T00:00:00.000Z</x:v>
      </x:c>
      <x:c r="B81" s="10" t="str">
        <x:v>WH-1</x:v>
      </x:c>
      <x:c r="C81" s="10" t="str">
        <x:v>DEMO-02</x:v>
      </x:c>
      <x:c r="D81" s="14" t="n">
        <x:v>10915</x:v>
      </x:c>
      <x:c r="E81" s="14" t="n">
        <x:v>7095</x:v>
      </x:c>
      <x:c r="F81" s="14" t="n">
        <x:v>0</x:v>
      </x:c>
      <x:c r="G81" s="14" t="n">
        <x:v>0</x:v>
      </x:c>
    </x:row>
    <x:row r="82" ht="25" customHeight="1">
      <x:c r="A82" s="13" t="d">
        <x:v>2027-10-01T00:00:00.000Z</x:v>
      </x:c>
      <x:c r="B82" s="10" t="str">
        <x:v>WH-2</x:v>
      </x:c>
      <x:c r="C82" s="10" t="str">
        <x:v>DEMO-02</x:v>
      </x:c>
      <x:c r="D82" s="14" t="n">
        <x:v>13019</x:v>
      </x:c>
      <x:c r="E82" s="14" t="n">
        <x:v>8462</x:v>
      </x:c>
      <x:c r="F82" s="14" t="n">
        <x:v>0</x:v>
      </x:c>
      <x:c r="G82" s="14" t="n">
        <x:v>0</x:v>
      </x:c>
    </x:row>
    <x:row r="83" ht="25" customHeight="1">
      <x:c r="A83" s="13" t="d">
        <x:v>2027-10-01T00:00:00.000Z</x:v>
      </x:c>
      <x:c r="B83" s="10" t="str">
        <x:v>WH-1</x:v>
      </x:c>
      <x:c r="C83" s="10" t="str">
        <x:v>DEMO-03</x:v>
      </x:c>
      <x:c r="D83" s="14" t="n">
        <x:v>12624</x:v>
      </x:c>
      <x:c r="E83" s="14" t="n">
        <x:v>8206</x:v>
      </x:c>
      <x:c r="F83" s="14" t="n">
        <x:v>0</x:v>
      </x:c>
      <x:c r="G83" s="14" t="n">
        <x:v>0</x:v>
      </x:c>
    </x:row>
    <x:row r="84" ht="25" customHeight="1">
      <x:c r="A84" s="13" t="d">
        <x:v>2027-10-01T00:00:00.000Z</x:v>
      </x:c>
      <x:c r="B84" s="10" t="str">
        <x:v>WH-2</x:v>
      </x:c>
      <x:c r="C84" s="10" t="str">
        <x:v>DEMO-03</x:v>
      </x:c>
      <x:c r="D84" s="14" t="n">
        <x:v>14728</x:v>
      </x:c>
      <x:c r="E84" s="14" t="n">
        <x:v>9573</x:v>
      </x:c>
      <x:c r="F84" s="14" t="n">
        <x:v>0</x:v>
      </x:c>
      <x:c r="G84" s="14" t="n">
        <x:v>0</x:v>
      </x:c>
    </x:row>
    <x:row r="85" ht="25" customHeight="1">
      <x:c r="A85" s="13" t="d">
        <x:v>2027-10-01T00:00:00.000Z</x:v>
      </x:c>
      <x:c r="B85" s="10" t="str">
        <x:v>WH-1</x:v>
      </x:c>
      <x:c r="C85" s="10" t="str">
        <x:v>DEMO-04</x:v>
      </x:c>
      <x:c r="D85" s="14" t="n">
        <x:v>14334</x:v>
      </x:c>
      <x:c r="E85" s="14" t="n">
        <x:v>14334</x:v>
      </x:c>
      <x:c r="F85" s="14" t="n">
        <x:v>0</x:v>
      </x:c>
      <x:c r="G85" s="14" t="n">
        <x:v>0</x:v>
      </x:c>
    </x:row>
    <x:row r="86" ht="25" customHeight="1">
      <x:c r="A86" s="13" t="d">
        <x:v>2027-10-01T00:00:00.000Z</x:v>
      </x:c>
      <x:c r="B86" s="10" t="str">
        <x:v>WH-2</x:v>
      </x:c>
      <x:c r="C86" s="10" t="str">
        <x:v>DEMO-04</x:v>
      </x:c>
      <x:c r="D86" s="14" t="n">
        <x:v>16438</x:v>
      </x:c>
      <x:c r="E86" s="14" t="n">
        <x:v>16438</x:v>
      </x:c>
      <x:c r="F86" s="14" t="n">
        <x:v>0</x:v>
      </x:c>
      <x:c r="G86" s="14" t="n">
        <x:v>0</x:v>
      </x:c>
    </x:row>
    <x:row r="87" ht="25" customHeight="1">
      <x:c r="A87" s="13" t="d">
        <x:v>2027-11-01T00:00:00.000Z</x:v>
      </x:c>
      <x:c r="B87" s="10" t="str">
        <x:v>WH-1</x:v>
      </x:c>
      <x:c r="C87" s="10" t="str">
        <x:v>DEMO-01</x:v>
      </x:c>
      <x:c r="D87" s="14" t="n">
        <x:v>9450</x:v>
      </x:c>
      <x:c r="E87" s="14" t="n">
        <x:v>6143</x:v>
      </x:c>
      <x:c r="F87" s="14" t="n">
        <x:v>0</x:v>
      </x:c>
      <x:c r="G87" s="14" t="n">
        <x:v>0</x:v>
      </x:c>
    </x:row>
    <x:row r="88" ht="25" customHeight="1">
      <x:c r="A88" s="13" t="d">
        <x:v>2027-11-01T00:00:00.000Z</x:v>
      </x:c>
      <x:c r="B88" s="10" t="str">
        <x:v>WH-2</x:v>
      </x:c>
      <x:c r="C88" s="10" t="str">
        <x:v>DEMO-01</x:v>
      </x:c>
      <x:c r="D88" s="14" t="n">
        <x:v>11610</x:v>
      </x:c>
      <x:c r="E88" s="14" t="n">
        <x:v>7547</x:v>
      </x:c>
      <x:c r="F88" s="14" t="n">
        <x:v>0</x:v>
      </x:c>
      <x:c r="G88" s="14" t="n">
        <x:v>0</x:v>
      </x:c>
    </x:row>
    <x:row r="89" ht="25" customHeight="1">
      <x:c r="A89" s="13" t="d">
        <x:v>2027-11-01T00:00:00.000Z</x:v>
      </x:c>
      <x:c r="B89" s="10" t="str">
        <x:v>WH-1</x:v>
      </x:c>
      <x:c r="C89" s="10" t="str">
        <x:v>DEMO-02</x:v>
      </x:c>
      <x:c r="D89" s="14" t="n">
        <x:v>11205</x:v>
      </x:c>
      <x:c r="E89" s="14" t="n">
        <x:v>7283</x:v>
      </x:c>
      <x:c r="F89" s="14" t="n">
        <x:v>0</x:v>
      </x:c>
      <x:c r="G89" s="14" t="n">
        <x:v>0</x:v>
      </x:c>
    </x:row>
    <x:row r="90" ht="25" customHeight="1">
      <x:c r="A90" s="13" t="d">
        <x:v>2027-11-01T00:00:00.000Z</x:v>
      </x:c>
      <x:c r="B90" s="10" t="str">
        <x:v>WH-2</x:v>
      </x:c>
      <x:c r="C90" s="10" t="str">
        <x:v>DEMO-02</x:v>
      </x:c>
      <x:c r="D90" s="14" t="n">
        <x:v>13365</x:v>
      </x:c>
      <x:c r="E90" s="14" t="n">
        <x:v>8687</x:v>
      </x:c>
      <x:c r="F90" s="14" t="n">
        <x:v>0</x:v>
      </x:c>
      <x:c r="G90" s="14" t="n">
        <x:v>0</x:v>
      </x:c>
    </x:row>
    <x:row r="91" ht="25" customHeight="1">
      <x:c r="A91" s="13" t="d">
        <x:v>2027-11-01T00:00:00.000Z</x:v>
      </x:c>
      <x:c r="B91" s="10" t="str">
        <x:v>WH-1</x:v>
      </x:c>
      <x:c r="C91" s="10" t="str">
        <x:v>DEMO-03</x:v>
      </x:c>
      <x:c r="D91" s="14" t="n">
        <x:v>12960</x:v>
      </x:c>
      <x:c r="E91" s="14" t="n">
        <x:v>8424</x:v>
      </x:c>
      <x:c r="F91" s="14" t="n">
        <x:v>0</x:v>
      </x:c>
      <x:c r="G91" s="14" t="n">
        <x:v>0</x:v>
      </x:c>
    </x:row>
    <x:row r="92" ht="25" customHeight="1">
      <x:c r="A92" s="13" t="d">
        <x:v>2027-11-01T00:00:00.000Z</x:v>
      </x:c>
      <x:c r="B92" s="10" t="str">
        <x:v>WH-2</x:v>
      </x:c>
      <x:c r="C92" s="10" t="str">
        <x:v>DEMO-03</x:v>
      </x:c>
      <x:c r="D92" s="14" t="n">
        <x:v>15120</x:v>
      </x:c>
      <x:c r="E92" s="14" t="n">
        <x:v>9828</x:v>
      </x:c>
      <x:c r="F92" s="14" t="n">
        <x:v>0</x:v>
      </x:c>
      <x:c r="G92" s="14" t="n">
        <x:v>0</x:v>
      </x:c>
    </x:row>
    <x:row r="93" ht="25" customHeight="1">
      <x:c r="A93" s="13" t="d">
        <x:v>2027-11-01T00:00:00.000Z</x:v>
      </x:c>
      <x:c r="B93" s="10" t="str">
        <x:v>WH-1</x:v>
      </x:c>
      <x:c r="C93" s="10" t="str">
        <x:v>DEMO-04</x:v>
      </x:c>
      <x:c r="D93" s="14" t="n">
        <x:v>14715</x:v>
      </x:c>
      <x:c r="E93" s="14" t="n">
        <x:v>14715</x:v>
      </x:c>
      <x:c r="F93" s="14" t="n">
        <x:v>0</x:v>
      </x:c>
      <x:c r="G93" s="14" t="n">
        <x:v>0</x:v>
      </x:c>
    </x:row>
    <x:row r="94" ht="25" customHeight="1">
      <x:c r="A94" s="13" t="d">
        <x:v>2027-11-01T00:00:00.000Z</x:v>
      </x:c>
      <x:c r="B94" s="10" t="str">
        <x:v>WH-2</x:v>
      </x:c>
      <x:c r="C94" s="10" t="str">
        <x:v>DEMO-04</x:v>
      </x:c>
      <x:c r="D94" s="14" t="n">
        <x:v>16875</x:v>
      </x:c>
      <x:c r="E94" s="14" t="n">
        <x:v>16875</x:v>
      </x:c>
      <x:c r="F94" s="14" t="n">
        <x:v>0</x:v>
      </x:c>
      <x:c r="G94" s="14" t="n">
        <x:v>0</x:v>
      </x:c>
    </x:row>
    <x:row r="95" ht="25" customHeight="1">
      <x:c r="A95" s="13" t="d">
        <x:v>2027-12-01T00:00:00.000Z</x:v>
      </x:c>
      <x:c r="B95" s="10" t="str">
        <x:v>WH-1</x:v>
      </x:c>
      <x:c r="C95" s="10" t="str">
        <x:v>DEMO-01</x:v>
      </x:c>
      <x:c r="D95" s="14" t="n">
        <x:v>9695</x:v>
      </x:c>
      <x:c r="E95" s="14" t="n">
        <x:v>6302</x:v>
      </x:c>
      <x:c r="F95" s="14" t="n">
        <x:v>0</x:v>
      </x:c>
      <x:c r="G95" s="14" t="n">
        <x:v>0</x:v>
      </x:c>
    </x:row>
    <x:row r="96" ht="25" customHeight="1">
      <x:c r="A96" s="13" t="d">
        <x:v>2027-12-01T00:00:00.000Z</x:v>
      </x:c>
      <x:c r="B96" s="10" t="str">
        <x:v>WH-2</x:v>
      </x:c>
      <x:c r="C96" s="10" t="str">
        <x:v>DEMO-01</x:v>
      </x:c>
      <x:c r="D96" s="14" t="n">
        <x:v>11911</x:v>
      </x:c>
      <x:c r="E96" s="14" t="n">
        <x:v>7742</x:v>
      </x:c>
      <x:c r="F96" s="14" t="n">
        <x:v>0</x:v>
      </x:c>
      <x:c r="G96" s="14" t="n">
        <x:v>0</x:v>
      </x:c>
    </x:row>
    <x:row r="97" ht="25" customHeight="1">
      <x:c r="A97" s="13" t="d">
        <x:v>2027-12-01T00:00:00.000Z</x:v>
      </x:c>
      <x:c r="B97" s="10" t="str">
        <x:v>WH-1</x:v>
      </x:c>
      <x:c r="C97" s="10" t="str">
        <x:v>DEMO-02</x:v>
      </x:c>
      <x:c r="D97" s="14" t="n">
        <x:v>11496</x:v>
      </x:c>
      <x:c r="E97" s="14" t="n">
        <x:v>7472</x:v>
      </x:c>
      <x:c r="F97" s="14" t="n">
        <x:v>0</x:v>
      </x:c>
      <x:c r="G97" s="14" t="n">
        <x:v>0</x:v>
      </x:c>
    </x:row>
    <x:row r="98" ht="25" customHeight="1">
      <x:c r="A98" s="13" t="d">
        <x:v>2027-12-01T00:00:00.000Z</x:v>
      </x:c>
      <x:c r="B98" s="10" t="str">
        <x:v>WH-2</x:v>
      </x:c>
      <x:c r="C98" s="10" t="str">
        <x:v>DEMO-02</x:v>
      </x:c>
      <x:c r="D98" s="14" t="n">
        <x:v>13712</x:v>
      </x:c>
      <x:c r="E98" s="14" t="n">
        <x:v>8913</x:v>
      </x:c>
      <x:c r="F98" s="14" t="n">
        <x:v>0</x:v>
      </x:c>
      <x:c r="G98" s="14" t="n">
        <x:v>0</x:v>
      </x:c>
    </x:row>
    <x:row r="99" ht="25" customHeight="1">
      <x:c r="A99" s="13" t="d">
        <x:v>2027-12-01T00:00:00.000Z</x:v>
      </x:c>
      <x:c r="B99" s="10" t="str">
        <x:v>WH-1</x:v>
      </x:c>
      <x:c r="C99" s="10" t="str">
        <x:v>DEMO-03</x:v>
      </x:c>
      <x:c r="D99" s="14" t="n">
        <x:v>13296</x:v>
      </x:c>
      <x:c r="E99" s="14" t="n">
        <x:v>8642</x:v>
      </x:c>
      <x:c r="F99" s="14" t="n">
        <x:v>0</x:v>
      </x:c>
      <x:c r="G99" s="14" t="n">
        <x:v>0</x:v>
      </x:c>
    </x:row>
    <x:row r="100" ht="25" customHeight="1">
      <x:c r="A100" s="13" t="d">
        <x:v>2027-12-01T00:00:00.000Z</x:v>
      </x:c>
      <x:c r="B100" s="10" t="str">
        <x:v>WH-2</x:v>
      </x:c>
      <x:c r="C100" s="10" t="str">
        <x:v>DEMO-03</x:v>
      </x:c>
      <x:c r="D100" s="14" t="n">
        <x:v>15512</x:v>
      </x:c>
      <x:c r="E100" s="14" t="n">
        <x:v>10083</x:v>
      </x:c>
      <x:c r="F100" s="14" t="n">
        <x:v>0</x:v>
      </x:c>
      <x:c r="G100" s="14" t="n">
        <x:v>0</x:v>
      </x:c>
    </x:row>
    <x:row r="101" ht="25" customHeight="1">
      <x:c r="A101" s="13" t="d">
        <x:v>2027-12-01T00:00:00.000Z</x:v>
      </x:c>
      <x:c r="B101" s="10" t="str">
        <x:v>WH-1</x:v>
      </x:c>
      <x:c r="C101" s="10" t="str">
        <x:v>DEMO-04</x:v>
      </x:c>
      <x:c r="D101" s="14" t="n">
        <x:v>15097</x:v>
      </x:c>
      <x:c r="E101" s="14" t="n">
        <x:v>15097</x:v>
      </x:c>
      <x:c r="F101" s="14" t="n">
        <x:v>0</x:v>
      </x:c>
      <x:c r="G101" s="14" t="n">
        <x:v>0</x:v>
      </x:c>
    </x:row>
    <x:row r="102" ht="25" customHeight="1">
      <x:c r="A102" s="13" t="d">
        <x:v>2027-12-01T00:00:00.000Z</x:v>
      </x:c>
      <x:c r="B102" s="10" t="str">
        <x:v>WH-2</x:v>
      </x:c>
      <x:c r="C102" s="10" t="str">
        <x:v>DEMO-04</x:v>
      </x:c>
      <x:c r="D102" s="14" t="n">
        <x:v>17313</x:v>
      </x:c>
      <x:c r="E102" s="14" t="n">
        <x:v>17313</x:v>
      </x:c>
      <x:c r="F102" s="14" t="n">
        <x:v>0</x:v>
      </x:c>
      <x:c r="G102" s="14" t="n">
        <x:v>0</x:v>
      </x:c>
    </x:row>
    <x:row r="103" ht="25" customHeight="1">
      <x:c r="A103" s="9"/>
      <x:c r="B103" s="9"/>
      <x:c r="C103" s="9"/>
      <x:c r="D103" s="9"/>
      <x:c r="E103" s="9"/>
      <x:c r="F103" s="9"/>
      <x:c r="G103" s="9"/>
    </x:row>
    <x:row r="104" ht="25" customHeight="1">
      <x:c r="A104" s="9"/>
      <x:c r="B104" s="9"/>
      <x:c r="C104" s="9"/>
      <x:c r="D104" s="9"/>
      <x:c r="E104" s="9"/>
      <x:c r="F104" s="9"/>
      <x:c r="G104" s="9"/>
    </x:row>
    <x:row r="105" ht="25" customHeight="1">
      <x:c r="A105" s="9"/>
      <x:c r="B105" s="9"/>
      <x:c r="C105" s="9"/>
      <x:c r="D105" s="9"/>
      <x:c r="E105" s="9"/>
      <x:c r="F105" s="9"/>
      <x:c r="G105" s="9"/>
    </x:row>
    <x:row r="106" ht="25" customHeight="1">
      <x:c r="A106" s="9"/>
      <x:c r="B106" s="9"/>
      <x:c r="C106" s="9"/>
      <x:c r="D106" s="9"/>
      <x:c r="E106" s="9"/>
      <x:c r="F106" s="9"/>
      <x:c r="G106" s="9"/>
    </x:row>
    <x:row r="107" ht="25" customHeight="1">
      <x:c r="A107" s="9"/>
      <x:c r="B107" s="9"/>
      <x:c r="C107" s="9"/>
      <x:c r="D107" s="9"/>
      <x:c r="E107" s="9"/>
      <x:c r="F107" s="9"/>
      <x:c r="G107" s="9"/>
    </x:row>
    <x:row r="108" ht="25" customHeight="1">
      <x:c r="A108" s="9"/>
      <x:c r="B108" s="9"/>
      <x:c r="C108" s="9"/>
      <x:c r="D108" s="9"/>
      <x:c r="E108" s="9"/>
      <x:c r="F108" s="9"/>
      <x:c r="G108" s="9"/>
    </x:row>
    <x:row r="109" ht="25" customHeight="1">
      <x:c r="A109" s="9"/>
      <x:c r="B109" s="9"/>
      <x:c r="C109" s="9"/>
      <x:c r="D109" s="9"/>
      <x:c r="E109" s="9"/>
      <x:c r="F109" s="9"/>
      <x:c r="G109" s="9"/>
    </x:row>
    <x:row r="110" ht="25" customHeight="1">
      <x:c r="A110" s="9"/>
      <x:c r="B110" s="9"/>
      <x:c r="C110" s="9"/>
      <x:c r="D110" s="9"/>
      <x:c r="E110" s="9"/>
      <x:c r="F110" s="9"/>
      <x:c r="G110" s="9"/>
    </x:row>
    <x:row r="111" ht="25" customHeight="1">
      <x:c r="A111" s="9"/>
      <x:c r="B111" s="9"/>
      <x:c r="C111" s="9"/>
      <x:c r="D111" s="9"/>
      <x:c r="E111" s="9"/>
      <x:c r="F111" s="9"/>
      <x:c r="G111" s="9"/>
    </x:row>
    <x:row r="112" ht="25" customHeight="1">
      <x:c r="A112" s="9"/>
      <x:c r="B112" s="9"/>
      <x:c r="C112" s="9"/>
      <x:c r="D112" s="9"/>
      <x:c r="E112" s="9"/>
      <x:c r="F112" s="9"/>
      <x:c r="G112" s="9"/>
    </x:row>
    <x:row r="113" ht="25" customHeight="1">
      <x:c r="A113" s="9"/>
      <x:c r="B113" s="9"/>
      <x:c r="C113" s="9"/>
      <x:c r="D113" s="9"/>
      <x:c r="E113" s="9"/>
      <x:c r="F113" s="9"/>
      <x:c r="G113" s="9"/>
    </x:row>
    <x:row r="114" ht="25" customHeight="1">
      <x:c r="A114" s="9"/>
      <x:c r="B114" s="9"/>
      <x:c r="C114" s="9"/>
      <x:c r="D114" s="9"/>
      <x:c r="E114" s="9"/>
      <x:c r="F114" s="9"/>
      <x:c r="G114" s="9"/>
    </x:row>
    <x:row r="115" ht="25" customHeight="1">
      <x:c r="A115" s="9"/>
      <x:c r="B115" s="9"/>
      <x:c r="C115" s="9"/>
      <x:c r="D115" s="9"/>
      <x:c r="E115" s="9"/>
      <x:c r="F115" s="9"/>
      <x:c r="G115" s="9"/>
    </x:row>
    <x:row r="116" ht="25" customHeight="1">
      <x:c r="A116" s="9"/>
      <x:c r="B116" s="9"/>
      <x:c r="C116" s="9"/>
      <x:c r="D116" s="9"/>
      <x:c r="E116" s="9"/>
      <x:c r="F116" s="9"/>
      <x:c r="G116" s="9"/>
    </x:row>
    <x:row r="117" ht="25" customHeight="1">
      <x:c r="A117" s="9"/>
      <x:c r="B117" s="9"/>
      <x:c r="C117" s="9"/>
      <x:c r="D117" s="9"/>
      <x:c r="E117" s="9"/>
      <x:c r="F117" s="9"/>
      <x:c r="G117" s="9"/>
    </x:row>
    <x:row r="118" ht="25" customHeight="1">
      <x:c r="A118" s="9"/>
      <x:c r="B118" s="9"/>
      <x:c r="C118" s="9"/>
      <x:c r="D118" s="9"/>
      <x:c r="E118" s="9"/>
      <x:c r="F118" s="9"/>
      <x:c r="G118" s="9"/>
    </x:row>
    <x:row r="119" ht="25" customHeight="1">
      <x:c r="A119" s="9"/>
      <x:c r="B119" s="9"/>
      <x:c r="C119" s="9"/>
      <x:c r="D119" s="9"/>
      <x:c r="E119" s="9"/>
      <x:c r="F119" s="9"/>
      <x:c r="G119" s="9"/>
    </x:row>
    <x:row r="120" ht="25" customHeight="1">
      <x:c r="A120" s="9"/>
      <x:c r="B120" s="9"/>
      <x:c r="C120" s="9"/>
      <x:c r="D120" s="9"/>
      <x:c r="E120" s="9"/>
      <x:c r="F120" s="9"/>
      <x:c r="G120" s="9"/>
    </x:row>
  </x:sheetData>
  <x:mergeCells>
    <x:mergeCell ref="A1:G2"/>
    <x:mergeCell ref="A3:G4"/>
  </x:mergeCells>
  <x:pageMargins left="0.7" right="0.7" top="0.75" bottom="0.75" header="0.3" footer="0.3"/>
</x:worksheet>
</file>

<file path=xl/worksheets/sheet7.xml><?xml version="1.0" encoding="utf-8"?>
<x:worksheet xmlns:x="http://schemas.openxmlformats.org/spreadsheetml/2006/main">
  <x:sheetPr>
    <x:tabColor rgb="FF156F70"/>
  </x:sheetPr>
  <x:sheetViews>
    <x:sheetView showGridLines="0" workbookViewId="0">
      <x:pane ySplit="6" topLeftCell="A7"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4" customHeight="1">
      <x:c r="A1" s="2" t="str">
        <x:v>How to use this template</x:v>
      </x:c>
      <x:c r="B1" s="2"/>
      <x:c r="C1" s="2"/>
      <x:c r="D1" s="2"/>
      <x:c r="E1" s="2"/>
      <x:c r="F1" s="2"/>
      <x:c r="G1" s="2"/>
      <x:c r="H1" s="2"/>
    </x:row>
    <x:row r="2" ht="24" customHeight="1">
      <x:c r="A2" s="2"/>
      <x:c r="B2" s="2"/>
      <x:c r="C2" s="2"/>
      <x:c r="D2" s="2"/>
      <x:c r="E2" s="2"/>
      <x:c r="F2" s="2"/>
      <x:c r="G2" s="2"/>
      <x:c r="H2" s="2"/>
    </x:row>
    <x:row r="3" ht="22" customHeight="1">
      <x:c r="A3" s="4" t="str">
        <x:v>L.I.L.Y. | Discovery by Execution | Run a real planning cycle with the tools you have, then use exceptions to improve the process.</x:v>
      </x:c>
      <x:c r="B3" s="4"/>
      <x:c r="C3" s="4"/>
      <x:c r="D3" s="4"/>
      <x:c r="E3" s="4"/>
      <x:c r="F3" s="4"/>
      <x:c r="G3" s="4"/>
      <x:c r="H3" s="4"/>
    </x:row>
    <x:row r="4" ht="22" customHeight="1">
      <x:c r="A4" s="4"/>
      <x:c r="B4" s="4"/>
      <x:c r="C4" s="4"/>
      <x:c r="D4" s="4"/>
      <x:c r="E4" s="4"/>
      <x:c r="F4" s="4"/>
      <x:c r="G4" s="4"/>
      <x:c r="H4" s="4"/>
    </x:row>
    <x:row r="7" ht="22" customHeight="1">
      <x:c r="A7" s="20" t="str">
        <x:v>Purpose</x:v>
      </x:c>
      <x:c r="B7" s="20"/>
      <x:c r="C7" s="19" t="str">
        <x:v>A streamlined public adaptation of Felipe Bart’s master production planning approach. It links monthly demand, stock policy, production requirements, distribution and line capacity.</x:v>
      </x:c>
      <x:c r="D7" s="19"/>
      <x:c r="E7" s="19"/>
      <x:c r="F7" s="19"/>
      <x:c r="G7" s="19"/>
      <x:c r="H7" s="19"/>
    </x:row>
    <x:row r="8" ht="22" customHeight="1">
      <x:c r="A8" s="20"/>
      <x:c r="B8" s="20"/>
      <x:c r="C8" s="19"/>
      <x:c r="D8" s="19"/>
      <x:c r="E8" s="19"/>
      <x:c r="F8" s="19"/>
      <x:c r="G8" s="19"/>
      <x:c r="H8" s="19"/>
    </x:row>
    <x:row r="9" ht="22" customHeight="1">
      <x:c r="A9" s="20"/>
      <x:c r="B9" s="20"/>
      <x:c r="C9" s="19"/>
      <x:c r="D9" s="19"/>
      <x:c r="E9" s="19"/>
      <x:c r="F9" s="19"/>
      <x:c r="G9" s="19"/>
      <x:c r="H9" s="19"/>
    </x:row>
    <x:row r="10" ht="22" customHeight="1">
      <x:c r="A10" s="20" t="str">
        <x:v>Data provenance</x:v>
      </x:c>
      <x:c r="B10" s="20"/>
      <x:c r="C10" s="19" t="str">
        <x:v>All sample products, volumes, warehouses, costs and capacities were created for this edition. No employer source data, customer lists, external workbook links or original hidden tabs are included.</x:v>
      </x:c>
      <x:c r="D10" s="19"/>
      <x:c r="E10" s="19"/>
      <x:c r="F10" s="19"/>
      <x:c r="G10" s="19"/>
      <x:c r="H10" s="19"/>
    </x:row>
    <x:row r="11" ht="22" customHeight="1">
      <x:c r="A11" s="20"/>
      <x:c r="B11" s="20"/>
      <x:c r="C11" s="19"/>
      <x:c r="D11" s="19"/>
      <x:c r="E11" s="19"/>
      <x:c r="F11" s="19"/>
      <x:c r="G11" s="19"/>
      <x:c r="H11" s="19"/>
    </x:row>
    <x:row r="12" ht="22" customHeight="1">
      <x:c r="A12" s="20"/>
      <x:c r="B12" s="20"/>
      <x:c r="C12" s="19"/>
      <x:c r="D12" s="19"/>
      <x:c r="E12" s="19"/>
      <x:c r="F12" s="19"/>
      <x:c r="G12" s="19"/>
      <x:c r="H12" s="19"/>
    </x:row>
    <x:row r="13" ht="22" customHeight="1">
      <x:c r="A13" s="20" t="str">
        <x:v>1. Set up</x:v>
      </x:c>
      <x:c r="B13" s="20"/>
      <x:c r="C13" s="19" t="str">
        <x:v>Inputs holds four products, two warehouses per product, opening stock, target stock cover and MTO/MTS policy. Line rates are cases per productive hour; available hours must be net of downtime.</x:v>
      </x:c>
      <x:c r="D13" s="19"/>
      <x:c r="E13" s="19"/>
      <x:c r="F13" s="19"/>
      <x:c r="G13" s="19"/>
      <x:c r="H13" s="19"/>
    </x:row>
    <x:row r="14" ht="22" customHeight="1">
      <x:c r="A14" s="20"/>
      <x:c r="B14" s="20"/>
      <x:c r="C14" s="19"/>
      <x:c r="D14" s="19"/>
      <x:c r="E14" s="19"/>
      <x:c r="F14" s="19"/>
      <x:c r="G14" s="19"/>
      <x:c r="H14" s="19"/>
    </x:row>
    <x:row r="15" ht="22" customHeight="1">
      <x:c r="A15" s="20"/>
      <x:c r="B15" s="20"/>
      <x:c r="C15" s="19"/>
      <x:c r="D15" s="19"/>
      <x:c r="E15" s="19"/>
      <x:c r="F15" s="19"/>
      <x:c r="G15" s="19"/>
      <x:c r="H15" s="19"/>
    </x:row>
    <x:row r="16" ht="22" customHeight="1">
      <x:c r="A16" s="20" t="str">
        <x:v>2. Enter demand</x:v>
      </x:c>
      <x:c r="B16" s="20"/>
      <x:c r="C16" s="19" t="str">
        <x:v>Demand holds 96 rows: 12 months × 4 SKUs × 2 warehouses. Edit forecast, firm orders, existing inbound and signed production adjustments. This edition consumes a forecast; it does not statistically generate one.</x:v>
      </x:c>
      <x:c r="D16" s="19"/>
      <x:c r="E16" s="19"/>
      <x:c r="F16" s="19"/>
      <x:c r="G16" s="19"/>
      <x:c r="H16" s="19"/>
    </x:row>
    <x:row r="17" ht="22" customHeight="1">
      <x:c r="A17" s="20"/>
      <x:c r="B17" s="20"/>
      <x:c r="C17" s="19"/>
      <x:c r="D17" s="19"/>
      <x:c r="E17" s="19"/>
      <x:c r="F17" s="19"/>
      <x:c r="G17" s="19"/>
      <x:c r="H17" s="19"/>
    </x:row>
    <x:row r="18" ht="22" customHeight="1">
      <x:c r="A18" s="20"/>
      <x:c r="B18" s="20"/>
      <x:c r="C18" s="19"/>
      <x:c r="D18" s="19"/>
      <x:c r="E18" s="19"/>
      <x:c r="F18" s="19"/>
      <x:c r="G18" s="19"/>
      <x:c r="H18" s="19"/>
    </x:row>
    <x:row r="19" ht="22" customHeight="1">
      <x:c r="A19" s="20" t="str">
        <x:v>3. Review the MPS</x:v>
      </x:c>
      <x:c r="B19" s="20"/>
      <x:c r="C19" s="19" t="str">
        <x:v>Demand is the greater of forecast and orders. Target stock is current-month demand × target weeks / 4.33; MTO target is zero. Suggested production replenishes demand plus target stock after opening stock and existing inbound.</x:v>
      </x:c>
      <x:c r="D19" s="19"/>
      <x:c r="E19" s="19"/>
      <x:c r="F19" s="19"/>
      <x:c r="G19" s="19"/>
      <x:c r="H19" s="19"/>
    </x:row>
    <x:row r="20" ht="22" customHeight="1">
      <x:c r="A20" s="20"/>
      <x:c r="B20" s="20"/>
      <x:c r="C20" s="19"/>
      <x:c r="D20" s="19"/>
      <x:c r="E20" s="19"/>
      <x:c r="F20" s="19"/>
      <x:c r="G20" s="19"/>
      <x:c r="H20" s="19"/>
    </x:row>
    <x:row r="21" ht="22" customHeight="1">
      <x:c r="A21" s="20"/>
      <x:c r="B21" s="20"/>
      <x:c r="C21" s="19"/>
      <x:c r="D21" s="19"/>
      <x:c r="E21" s="19"/>
      <x:c r="F21" s="19"/>
      <x:c r="G21" s="19"/>
      <x:c r="H21" s="19"/>
    </x:row>
    <x:row r="22" ht="22" customHeight="1">
      <x:c r="A22" s="20" t="str">
        <x:v>4. Make decisions</x:v>
      </x:c>
      <x:c r="B22" s="20"/>
      <x:c r="C22" s="19" t="str">
        <x:v>Planned production = MAX(0, suggestion + adjustment). Closing stock rolls to the next month. Negative closing stock represents unmet demand/backlog. Cover uses current-month demand; zero demand shows zero cover.</x:v>
      </x:c>
      <x:c r="D22" s="19"/>
      <x:c r="E22" s="19"/>
      <x:c r="F22" s="19"/>
      <x:c r="G22" s="19"/>
      <x:c r="H22" s="19"/>
    </x:row>
    <x:row r="23" ht="22" customHeight="1">
      <x:c r="A23" s="20"/>
      <x:c r="B23" s="20"/>
      <x:c r="C23" s="19"/>
      <x:c r="D23" s="19"/>
      <x:c r="E23" s="19"/>
      <x:c r="F23" s="19"/>
      <x:c r="G23" s="19"/>
      <x:c r="H23" s="19"/>
    </x:row>
    <x:row r="24" ht="22" customHeight="1">
      <x:c r="A24" s="20"/>
      <x:c r="B24" s="20"/>
      <x:c r="C24" s="19"/>
      <x:c r="D24" s="19"/>
      <x:c r="E24" s="19"/>
      <x:c r="F24" s="19"/>
      <x:c r="G24" s="19"/>
      <x:c r="H24" s="19"/>
    </x:row>
    <x:row r="25" ht="22" customHeight="1">
      <x:c r="A25" s="20" t="str">
        <x:v>5. Check capacity</x:v>
      </x:c>
      <x:c r="B25" s="20"/>
      <x:c r="C25" s="19" t="str">
        <x:v>Capacity sums production by product and month, converts cases to hours and compares total line hours with available hours. Line totals repeat for each product on the same line: do not add those repeated totals.</x:v>
      </x:c>
      <x:c r="D25" s="19"/>
      <x:c r="E25" s="19"/>
      <x:c r="F25" s="19"/>
      <x:c r="G25" s="19"/>
      <x:c r="H25" s="19"/>
    </x:row>
    <x:row r="26" ht="22" customHeight="1">
      <x:c r="A26" s="20"/>
      <x:c r="B26" s="20"/>
      <x:c r="C26" s="19"/>
      <x:c r="D26" s="19"/>
      <x:c r="E26" s="19"/>
      <x:c r="F26" s="19"/>
      <x:c r="G26" s="19"/>
      <x:c r="H26" s="19"/>
    </x:row>
    <x:row r="27" ht="22" customHeight="1">
      <x:c r="A27" s="20"/>
      <x:c r="B27" s="20"/>
      <x:c r="C27" s="19"/>
      <x:c r="D27" s="19"/>
      <x:c r="E27" s="19"/>
      <x:c r="F27" s="19"/>
      <x:c r="G27" s="19"/>
      <x:c r="H27" s="19"/>
    </x:row>
    <x:row r="28" ht="22" customHeight="1">
      <x:c r="A28" s="20" t="str">
        <x:v>6. Resolve overload</x:v>
      </x:c>
      <x:c r="B28" s="20"/>
      <x:c r="C28" s="19" t="str">
        <x:v>Increase demand or lower line hours to expose capacity gaps. Decide whether to prebuild, move quantities, change capacity or revise service expectations. Enter agreed changes as signed production adjustments. The model flags overload but does not optimise or sequence.</x:v>
      </x:c>
      <x:c r="D28" s="19"/>
      <x:c r="E28" s="19"/>
      <x:c r="F28" s="19"/>
      <x:c r="G28" s="19"/>
      <x:c r="H28" s="19"/>
    </x:row>
    <x:row r="29" ht="22" customHeight="1">
      <x:c r="A29" s="20"/>
      <x:c r="B29" s="20"/>
      <x:c r="C29" s="19"/>
      <x:c r="D29" s="19"/>
      <x:c r="E29" s="19"/>
      <x:c r="F29" s="19"/>
      <x:c r="G29" s="19"/>
      <x:c r="H29" s="19"/>
    </x:row>
    <x:row r="30" ht="22" customHeight="1">
      <x:c r="A30" s="20"/>
      <x:c r="B30" s="20"/>
      <x:c r="C30" s="19"/>
      <x:c r="D30" s="19"/>
      <x:c r="E30" s="19"/>
      <x:c r="F30" s="19"/>
      <x:c r="G30" s="19"/>
      <x:c r="H30" s="19"/>
    </x:row>
    <x:row r="31" ht="22" customHeight="1">
      <x:c r="A31" s="20" t="str">
        <x:v>7. Coordinate distribution</x:v>
      </x:c>
      <x:c r="B31" s="20"/>
      <x:c r="C31" s="19" t="str">
        <x:v>Distribution shows the new production quantities to ship to each warehouse and pallet equivalents. Same-month delivery is assumed. Existing confirmed inbound must not include this newly planned production.</x:v>
      </x:c>
      <x:c r="D31" s="19"/>
      <x:c r="E31" s="19"/>
      <x:c r="F31" s="19"/>
      <x:c r="G31" s="19"/>
      <x:c r="H31" s="19"/>
    </x:row>
    <x:row r="32" ht="22" customHeight="1">
      <x:c r="A32" s="20"/>
      <x:c r="B32" s="20"/>
      <x:c r="C32" s="19"/>
      <x:c r="D32" s="19"/>
      <x:c r="E32" s="19"/>
      <x:c r="F32" s="19"/>
      <x:c r="G32" s="19"/>
      <x:c r="H32" s="19"/>
    </x:row>
    <x:row r="33" ht="22" customHeight="1">
      <x:c r="A33" s="20"/>
      <x:c r="B33" s="20"/>
      <x:c r="C33" s="19"/>
      <x:c r="D33" s="19"/>
      <x:c r="E33" s="19"/>
      <x:c r="F33" s="19"/>
      <x:c r="G33" s="19"/>
      <x:c r="H33" s="19"/>
    </x:row>
    <x:row r="34" ht="22" customHeight="1">
      <x:c r="A34" s="20" t="str">
        <x:v>Boundaries</x:v>
      </x:c>
      <x:c r="B34" s="20"/>
      <x:c r="C34" s="19" t="str">
        <x:v>No BOM explosion, material procurement, daily sequencing, changeovers, transit lead-time offsets, shelf-life or quality-release logic. These require additional modules or a scheduling system. Historical output in this file is illustrative, not a business result.</x:v>
      </x:c>
      <x:c r="D34" s="19"/>
      <x:c r="E34" s="19"/>
      <x:c r="F34" s="19"/>
      <x:c r="G34" s="19"/>
      <x:c r="H34" s="19"/>
    </x:row>
    <x:row r="35" ht="22" customHeight="1">
      <x:c r="A35" s="20"/>
      <x:c r="B35" s="20"/>
      <x:c r="C35" s="19"/>
      <x:c r="D35" s="19"/>
      <x:c r="E35" s="19"/>
      <x:c r="F35" s="19"/>
      <x:c r="G35" s="19"/>
      <x:c r="H35" s="19"/>
    </x:row>
    <x:row r="36" ht="22" customHeight="1">
      <x:c r="A36" s="20"/>
      <x:c r="B36" s="20"/>
      <x:c r="C36" s="19"/>
      <x:c r="D36" s="19"/>
      <x:c r="E36" s="19"/>
      <x:c r="F36" s="19"/>
      <x:c r="G36" s="19"/>
      <x:c r="H36" s="19"/>
    </x:row>
    <x:row r="37" ht="22" customHeight="1">
      <x:c r="A37" s="20" t="str">
        <x:v>Adapting the layout</x:v>
      </x:c>
      <x:c r="B37" s="20"/>
      <x:c r="C37" s="19" t="str">
        <x:v>This version is sized for four products, two warehouse lanes per product and 12 months. Change keys in both Inputs and Demand consistently. Adding products or lanes requires extending and remapping formulas; it is not automatically expandable.</x:v>
      </x:c>
      <x:c r="D37" s="19"/>
      <x:c r="E37" s="19"/>
      <x:c r="F37" s="19"/>
      <x:c r="G37" s="19"/>
      <x:c r="H37" s="19"/>
    </x:row>
    <x:row r="38" ht="22" customHeight="1">
      <x:c r="A38" s="20"/>
      <x:c r="B38" s="20"/>
      <x:c r="C38" s="19"/>
      <x:c r="D38" s="19"/>
      <x:c r="E38" s="19"/>
      <x:c r="F38" s="19"/>
      <x:c r="G38" s="19"/>
      <x:c r="H38" s="19"/>
    </x:row>
    <x:row r="39" ht="22" customHeight="1">
      <x:c r="A39" s="20"/>
      <x:c r="B39" s="20"/>
      <x:c r="C39" s="19"/>
      <x:c r="D39" s="19"/>
      <x:c r="E39" s="19"/>
      <x:c r="F39" s="19"/>
      <x:c r="G39" s="19"/>
      <x:c r="H39" s="19"/>
    </x:row>
    <x:row r="40" ht="22" customHeight="1">
      <x:c r="A40" s="20" t="str">
        <x:v>Experiment</x:v>
      </x:c>
      <x:c r="B40" s="20"/>
      <x:c r="C40" s="19" t="str">
        <x:v>Line A in the sample approaches or exceeds capacity as demand grows. Reduce production in an overloaded month and observe the stock-policy exceptions. Use this to discuss trade-offs with the team.</x:v>
      </x:c>
      <x:c r="D40" s="19"/>
      <x:c r="E40" s="19"/>
      <x:c r="F40" s="19"/>
      <x:c r="G40" s="19"/>
      <x:c r="H40" s="19"/>
    </x:row>
    <x:row r="41" ht="22" customHeight="1">
      <x:c r="A41" s="20"/>
      <x:c r="B41" s="20"/>
      <x:c r="C41" s="19"/>
      <x:c r="D41" s="19"/>
      <x:c r="E41" s="19"/>
      <x:c r="F41" s="19"/>
      <x:c r="G41" s="19"/>
      <x:c r="H41" s="19"/>
    </x:row>
    <x:row r="42" ht="22" customHeight="1">
      <x:c r="A42" s="20"/>
      <x:c r="B42" s="20"/>
      <x:c r="C42" s="19"/>
      <x:c r="D42" s="19"/>
      <x:c r="E42" s="19"/>
      <x:c r="F42" s="19"/>
      <x:c r="G42" s="19"/>
      <x:c r="H42" s="19"/>
    </x:row>
    <x:row r="43" ht="22" customHeight="1">
      <x:c r="A43" s="20" t="str">
        <x:v>Method</x:v>
      </x:c>
      <x:c r="B43" s="20"/>
      <x:c r="C43" s="19" t="str">
        <x:v>Remove unnecessary work, simplify, standardise, digitise, automate and apply AI where useful. Emulate the future operating model, run it, discover bottlenecks, adjust and repeat.</x:v>
      </x:c>
      <x:c r="D43" s="19"/>
      <x:c r="E43" s="19"/>
      <x:c r="F43" s="19"/>
      <x:c r="G43" s="19"/>
      <x:c r="H43" s="19"/>
    </x:row>
    <x:row r="44" ht="22" customHeight="1">
      <x:c r="A44" s="20"/>
      <x:c r="B44" s="20"/>
      <x:c r="C44" s="19"/>
      <x:c r="D44" s="19"/>
      <x:c r="E44" s="19"/>
      <x:c r="F44" s="19"/>
      <x:c r="G44" s="19"/>
      <x:c r="H44" s="19"/>
    </x:row>
    <x:row r="45" ht="22" customHeight="1">
      <x:c r="A45" s="20"/>
      <x:c r="B45" s="20"/>
      <x:c r="C45" s="19"/>
      <x:c r="D45" s="19"/>
      <x:c r="E45" s="19"/>
      <x:c r="F45" s="19"/>
      <x:c r="G45" s="19"/>
      <x:c r="H45" s="19"/>
    </x:row>
    <x:row r="46" ht="22" customHeight="1">
      <x:c r="A46" s="20" t="str">
        <x:v>Companion</x:v>
      </x:c>
      <x:c r="B46" s="20"/>
      <x:c r="C46" s="19" t="str">
        <x:v>Site Deployment Playbook: six phases from readiness assessment through sustained site ownership. Use it to structure adoption, training, escalation and hypercare exit.</x:v>
      </x:c>
      <x:c r="D46" s="19"/>
      <x:c r="E46" s="19"/>
      <x:c r="F46" s="19"/>
      <x:c r="G46" s="19"/>
      <x:c r="H46" s="19"/>
    </x:row>
    <x:row r="47" ht="22" customHeight="1">
      <x:c r="A47" s="20"/>
      <x:c r="B47" s="20"/>
      <x:c r="C47" s="19"/>
      <x:c r="D47" s="19"/>
      <x:c r="E47" s="19"/>
      <x:c r="F47" s="19"/>
      <x:c r="G47" s="19"/>
      <x:c r="H47" s="19"/>
    </x:row>
    <x:row r="48" ht="22" customHeight="1">
      <x:c r="A48" s="20"/>
      <x:c r="B48" s="20"/>
      <x:c r="C48" s="19"/>
      <x:c r="D48" s="19"/>
      <x:c r="E48" s="19"/>
      <x:c r="F48" s="19"/>
      <x:c r="G48" s="19"/>
      <x:c r="H48" s="19"/>
    </x:row>
    <x:row r="49" ht="22" customHeight="1">
      <x:c r="A49" s="20" t="str">
        <x:v>Reuse</x:v>
      </x:c>
      <x:c r="B49" s="20"/>
      <x:c r="C49" s="19" t="str">
        <x:v>Created by Felipe Bart. You may use and adapt this public template for learning and internal business planning. Please retain attribution when redistributing. Provided as an educational starting point.</x:v>
      </x:c>
      <x:c r="D49" s="19"/>
      <x:c r="E49" s="19"/>
      <x:c r="F49" s="19"/>
      <x:c r="G49" s="19"/>
      <x:c r="H49" s="19"/>
    </x:row>
    <x:row r="50" ht="22" customHeight="1">
      <x:c r="A50" s="20"/>
      <x:c r="B50" s="20"/>
      <x:c r="C50" s="19"/>
      <x:c r="D50" s="19"/>
      <x:c r="E50" s="19"/>
      <x:c r="F50" s="19"/>
      <x:c r="G50" s="19"/>
      <x:c r="H50" s="19"/>
    </x:row>
    <x:row r="51" ht="22" customHeight="1">
      <x:c r="A51" s="20"/>
      <x:c r="B51" s="20"/>
      <x:c r="C51" s="19"/>
      <x:c r="D51" s="19"/>
      <x:c r="E51" s="19"/>
      <x:c r="F51" s="19"/>
      <x:c r="G51" s="19"/>
      <x:c r="H51" s="19"/>
    </x:row>
    <x:row r="52" ht="22" customHeight="1">
      <x:c r="A52" s="20" t="str">
        <x:v>Portfolio</x:v>
      </x:c>
      <x:c r="B52" s="20"/>
      <x:c r="C52" s="19" t="str">
        <x:v>https://alunaenterprisehub.pages.dev/portfolio/</x:v>
      </x:c>
      <x:c r="D52" s="19"/>
      <x:c r="E52" s="19"/>
      <x:c r="F52" s="19"/>
      <x:c r="G52" s="19"/>
      <x:c r="H52" s="19"/>
    </x:row>
    <x:row r="53" ht="22" customHeight="1">
      <x:c r="A53" s="20"/>
      <x:c r="B53" s="20"/>
      <x:c r="C53" s="19"/>
      <x:c r="D53" s="19"/>
      <x:c r="E53" s="19"/>
      <x:c r="F53" s="19"/>
      <x:c r="G53" s="19"/>
      <x:c r="H53" s="19"/>
    </x:row>
    <x:row r="54" ht="22" customHeight="1">
      <x:c r="A54" s="20"/>
      <x:c r="B54" s="20"/>
      <x:c r="C54" s="19"/>
      <x:c r="D54" s="19"/>
      <x:c r="E54" s="19"/>
      <x:c r="F54" s="19"/>
      <x:c r="G54" s="19"/>
      <x:c r="H54" s="19"/>
    </x:row>
    <x:row r="55" ht="25" customHeight="1">
      <x:c r="A55" s="9"/>
      <x:c r="B55" s="9"/>
      <x:c r="C55" s="9"/>
      <x:c r="D55" s="9"/>
      <x:c r="E55" s="9"/>
      <x:c r="F55" s="9"/>
      <x:c r="G55" s="9"/>
      <x:c r="H55" s="9"/>
    </x:row>
    <x:row r="56" ht="25" customHeight="1">
      <x:c r="A56" s="9"/>
      <x:c r="B56" s="9"/>
      <x:c r="C56" s="9"/>
      <x:c r="D56" s="9"/>
      <x:c r="E56" s="9"/>
      <x:c r="F56" s="9"/>
      <x:c r="G56" s="9"/>
      <x:c r="H56" s="9"/>
    </x:row>
    <x:row r="57" ht="25" customHeight="1">
      <x:c r="A57" s="9"/>
      <x:c r="B57" s="9"/>
      <x:c r="C57" s="9"/>
      <x:c r="D57" s="9"/>
      <x:c r="E57" s="9"/>
      <x:c r="F57" s="9"/>
      <x:c r="G57" s="9"/>
      <x:c r="H57" s="9"/>
    </x:row>
    <x:row r="58" ht="25" customHeight="1">
      <x:c r="A58" s="9"/>
      <x:c r="B58" s="9"/>
      <x:c r="C58" s="9"/>
      <x:c r="D58" s="9"/>
      <x:c r="E58" s="9"/>
      <x:c r="F58" s="9"/>
      <x:c r="G58" s="9"/>
      <x:c r="H58" s="9"/>
    </x:row>
    <x:row r="59" ht="25" customHeight="1">
      <x:c r="A59" s="9"/>
      <x:c r="B59" s="9"/>
      <x:c r="C59" s="9"/>
      <x:c r="D59" s="9"/>
      <x:c r="E59" s="9"/>
      <x:c r="F59" s="9"/>
      <x:c r="G59" s="9"/>
      <x:c r="H59" s="9"/>
    </x:row>
    <x:row r="60" ht="25" customHeight="1">
      <x:c r="A60" s="9"/>
      <x:c r="B60" s="9"/>
      <x:c r="C60" s="9"/>
      <x:c r="D60" s="9"/>
      <x:c r="E60" s="9"/>
      <x:c r="F60" s="9"/>
      <x:c r="G60" s="9"/>
      <x:c r="H60" s="9"/>
    </x:row>
    <x:row r="61" ht="25" customHeight="1">
      <x:c r="A61" s="9"/>
      <x:c r="B61" s="9"/>
      <x:c r="C61" s="9"/>
      <x:c r="D61" s="9"/>
      <x:c r="E61" s="9"/>
      <x:c r="F61" s="9"/>
      <x:c r="G61" s="9"/>
      <x:c r="H61" s="9"/>
    </x:row>
    <x:row r="62" ht="25" customHeight="1">
      <x:c r="A62" s="9"/>
      <x:c r="B62" s="9"/>
      <x:c r="C62" s="9"/>
      <x:c r="D62" s="9"/>
      <x:c r="E62" s="9"/>
      <x:c r="F62" s="9"/>
      <x:c r="G62" s="9"/>
      <x:c r="H62" s="9"/>
    </x:row>
    <x:row r="63" ht="25" customHeight="1">
      <x:c r="A63" s="9"/>
      <x:c r="B63" s="9"/>
      <x:c r="C63" s="9"/>
      <x:c r="D63" s="9"/>
      <x:c r="E63" s="9"/>
      <x:c r="F63" s="9"/>
      <x:c r="G63" s="9"/>
      <x:c r="H63" s="9"/>
    </x:row>
    <x:row r="64" ht="25" customHeight="1">
      <x:c r="A64" s="9"/>
      <x:c r="B64" s="9"/>
      <x:c r="C64" s="9"/>
      <x:c r="D64" s="9"/>
      <x:c r="E64" s="9"/>
      <x:c r="F64" s="9"/>
      <x:c r="G64" s="9"/>
      <x:c r="H64" s="9"/>
    </x:row>
    <x:row r="65" ht="25" customHeight="1">
      <x:c r="A65" s="9"/>
      <x:c r="B65" s="9"/>
      <x:c r="C65" s="9"/>
      <x:c r="D65" s="9"/>
      <x:c r="E65" s="9"/>
      <x:c r="F65" s="9"/>
      <x:c r="G65" s="9"/>
      <x:c r="H65" s="9"/>
    </x:row>
    <x:row r="66" ht="25" customHeight="1">
      <x:c r="A66" s="9"/>
      <x:c r="B66" s="9"/>
      <x:c r="C66" s="9"/>
      <x:c r="D66" s="9"/>
      <x:c r="E66" s="9"/>
      <x:c r="F66" s="9"/>
      <x:c r="G66" s="9"/>
      <x:c r="H66" s="9"/>
    </x:row>
    <x:row r="67" ht="25" customHeight="1">
      <x:c r="A67" s="9"/>
      <x:c r="B67" s="9"/>
      <x:c r="C67" s="9"/>
      <x:c r="D67" s="9"/>
      <x:c r="E67" s="9"/>
      <x:c r="F67" s="9"/>
      <x:c r="G67" s="9"/>
      <x:c r="H67" s="9"/>
    </x:row>
    <x:row r="68" ht="25" customHeight="1">
      <x:c r="A68" s="9"/>
      <x:c r="B68" s="9"/>
      <x:c r="C68" s="9"/>
      <x:c r="D68" s="9"/>
      <x:c r="E68" s="9"/>
      <x:c r="F68" s="9"/>
      <x:c r="G68" s="9"/>
      <x:c r="H68" s="9"/>
    </x:row>
    <x:row r="69" ht="25" customHeight="1">
      <x:c r="A69" s="9"/>
      <x:c r="B69" s="9"/>
      <x:c r="C69" s="9"/>
      <x:c r="D69" s="9"/>
      <x:c r="E69" s="9"/>
      <x:c r="F69" s="9"/>
      <x:c r="G69" s="9"/>
      <x:c r="H69" s="9"/>
    </x:row>
    <x:row r="70" ht="25" customHeight="1">
      <x:c r="A70" s="9"/>
      <x:c r="B70" s="9"/>
      <x:c r="C70" s="9"/>
      <x:c r="D70" s="9"/>
      <x:c r="E70" s="9"/>
      <x:c r="F70" s="9"/>
      <x:c r="G70" s="9"/>
      <x:c r="H70" s="9"/>
    </x:row>
    <x:row r="71" ht="25" customHeight="1">
      <x:c r="A71" s="9"/>
      <x:c r="B71" s="9"/>
      <x:c r="C71" s="9"/>
      <x:c r="D71" s="9"/>
      <x:c r="E71" s="9"/>
      <x:c r="F71" s="9"/>
      <x:c r="G71" s="9"/>
      <x:c r="H71" s="9"/>
    </x:row>
    <x:row r="72" ht="25" customHeight="1">
      <x:c r="A72" s="9"/>
      <x:c r="B72" s="9"/>
      <x:c r="C72" s="9"/>
      <x:c r="D72" s="9"/>
      <x:c r="E72" s="9"/>
      <x:c r="F72" s="9"/>
      <x:c r="G72" s="9"/>
      <x:c r="H72" s="9"/>
    </x:row>
    <x:row r="73" ht="25" customHeight="1">
      <x:c r="A73" s="9"/>
      <x:c r="B73" s="9"/>
      <x:c r="C73" s="9"/>
      <x:c r="D73" s="9"/>
      <x:c r="E73" s="9"/>
      <x:c r="F73" s="9"/>
      <x:c r="G73" s="9"/>
      <x:c r="H73" s="9"/>
    </x:row>
    <x:row r="74" ht="25" customHeight="1">
      <x:c r="A74" s="9"/>
      <x:c r="B74" s="9"/>
      <x:c r="C74" s="9"/>
      <x:c r="D74" s="9"/>
      <x:c r="E74" s="9"/>
      <x:c r="F74" s="9"/>
      <x:c r="G74" s="9"/>
      <x:c r="H74" s="9"/>
    </x:row>
    <x:row r="75" ht="25" customHeight="1">
      <x:c r="A75" s="9"/>
      <x:c r="B75" s="9"/>
      <x:c r="C75" s="9"/>
      <x:c r="D75" s="9"/>
      <x:c r="E75" s="9"/>
      <x:c r="F75" s="9"/>
      <x:c r="G75" s="9"/>
      <x:c r="H75" s="9"/>
    </x:row>
    <x:row r="76" ht="25" customHeight="1">
      <x:c r="A76" s="9"/>
      <x:c r="B76" s="9"/>
      <x:c r="C76" s="9"/>
      <x:c r="D76" s="9"/>
      <x:c r="E76" s="9"/>
      <x:c r="F76" s="9"/>
      <x:c r="G76" s="9"/>
      <x:c r="H76" s="9"/>
    </x:row>
    <x:row r="77" ht="25" customHeight="1">
      <x:c r="A77" s="9"/>
      <x:c r="B77" s="9"/>
      <x:c r="C77" s="9"/>
      <x:c r="D77" s="9"/>
      <x:c r="E77" s="9"/>
      <x:c r="F77" s="9"/>
      <x:c r="G77" s="9"/>
      <x:c r="H77" s="9"/>
    </x:row>
    <x:row r="78" ht="25" customHeight="1">
      <x:c r="A78" s="9"/>
      <x:c r="B78" s="9"/>
      <x:c r="C78" s="9"/>
      <x:c r="D78" s="9"/>
      <x:c r="E78" s="9"/>
      <x:c r="F78" s="9"/>
      <x:c r="G78" s="9"/>
      <x:c r="H78" s="9"/>
    </x:row>
    <x:row r="79" ht="25" customHeight="1">
      <x:c r="A79" s="9"/>
      <x:c r="B79" s="9"/>
      <x:c r="C79" s="9"/>
      <x:c r="D79" s="9"/>
      <x:c r="E79" s="9"/>
      <x:c r="F79" s="9"/>
      <x:c r="G79" s="9"/>
      <x:c r="H79" s="9"/>
    </x:row>
    <x:row r="80" ht="25" customHeight="1">
      <x:c r="A80" s="9"/>
      <x:c r="B80" s="9"/>
      <x:c r="C80" s="9"/>
      <x:c r="D80" s="9"/>
      <x:c r="E80" s="9"/>
      <x:c r="F80" s="9"/>
      <x:c r="G80" s="9"/>
      <x:c r="H80" s="9"/>
    </x:row>
    <x:row r="81" ht="25" customHeight="1">
      <x:c r="A81" s="9"/>
      <x:c r="B81" s="9"/>
      <x:c r="C81" s="9"/>
      <x:c r="D81" s="9"/>
      <x:c r="E81" s="9"/>
      <x:c r="F81" s="9"/>
      <x:c r="G81" s="9"/>
      <x:c r="H81" s="9"/>
    </x:row>
    <x:row r="82" ht="25" customHeight="1">
      <x:c r="A82" s="9"/>
      <x:c r="B82" s="9"/>
      <x:c r="C82" s="9"/>
      <x:c r="D82" s="9"/>
      <x:c r="E82" s="9"/>
      <x:c r="F82" s="9"/>
      <x:c r="G82" s="9"/>
      <x:c r="H82" s="9"/>
    </x:row>
    <x:row r="83" ht="25" customHeight="1">
      <x:c r="A83" s="9"/>
      <x:c r="B83" s="9"/>
      <x:c r="C83" s="9"/>
      <x:c r="D83" s="9"/>
      <x:c r="E83" s="9"/>
      <x:c r="F83" s="9"/>
      <x:c r="G83" s="9"/>
      <x:c r="H83" s="9"/>
    </x:row>
    <x:row r="84" ht="25" customHeight="1">
      <x:c r="A84" s="9"/>
      <x:c r="B84" s="9"/>
      <x:c r="C84" s="9"/>
      <x:c r="D84" s="9"/>
      <x:c r="E84" s="9"/>
      <x:c r="F84" s="9"/>
      <x:c r="G84" s="9"/>
      <x:c r="H84" s="9"/>
    </x:row>
    <x:row r="85" ht="25" customHeight="1">
      <x:c r="A85" s="9"/>
      <x:c r="B85" s="9"/>
      <x:c r="C85" s="9"/>
      <x:c r="D85" s="9"/>
      <x:c r="E85" s="9"/>
      <x:c r="F85" s="9"/>
      <x:c r="G85" s="9"/>
      <x:c r="H85" s="9"/>
    </x:row>
    <x:row r="86" ht="25" customHeight="1">
      <x:c r="A86" s="9"/>
      <x:c r="B86" s="9"/>
      <x:c r="C86" s="9"/>
      <x:c r="D86" s="9"/>
      <x:c r="E86" s="9"/>
      <x:c r="F86" s="9"/>
      <x:c r="G86" s="9"/>
      <x:c r="H86" s="9"/>
    </x:row>
    <x:row r="87" ht="25" customHeight="1">
      <x:c r="A87" s="9"/>
      <x:c r="B87" s="9"/>
      <x:c r="C87" s="9"/>
      <x:c r="D87" s="9"/>
      <x:c r="E87" s="9"/>
      <x:c r="F87" s="9"/>
      <x:c r="G87" s="9"/>
      <x:c r="H87" s="9"/>
    </x:row>
    <x:row r="88" ht="25" customHeight="1">
      <x:c r="A88" s="9"/>
      <x:c r="B88" s="9"/>
      <x:c r="C88" s="9"/>
      <x:c r="D88" s="9"/>
      <x:c r="E88" s="9"/>
      <x:c r="F88" s="9"/>
      <x:c r="G88" s="9"/>
      <x:c r="H88" s="9"/>
    </x:row>
    <x:row r="89" ht="25" customHeight="1">
      <x:c r="A89" s="9"/>
      <x:c r="B89" s="9"/>
      <x:c r="C89" s="9"/>
      <x:c r="D89" s="9"/>
      <x:c r="E89" s="9"/>
      <x:c r="F89" s="9"/>
      <x:c r="G89" s="9"/>
      <x:c r="H89" s="9"/>
    </x:row>
    <x:row r="90" ht="25" customHeight="1">
      <x:c r="A90" s="9"/>
      <x:c r="B90" s="9"/>
      <x:c r="C90" s="9"/>
      <x:c r="D90" s="9"/>
      <x:c r="E90" s="9"/>
      <x:c r="F90" s="9"/>
      <x:c r="G90" s="9"/>
      <x:c r="H90" s="9"/>
    </x:row>
    <x:row r="91" ht="25" customHeight="1">
      <x:c r="A91" s="9"/>
      <x:c r="B91" s="9"/>
      <x:c r="C91" s="9"/>
      <x:c r="D91" s="9"/>
      <x:c r="E91" s="9"/>
      <x:c r="F91" s="9"/>
      <x:c r="G91" s="9"/>
      <x:c r="H91" s="9"/>
    </x:row>
    <x:row r="92" ht="25" customHeight="1">
      <x:c r="A92" s="9"/>
      <x:c r="B92" s="9"/>
      <x:c r="C92" s="9"/>
      <x:c r="D92" s="9"/>
      <x:c r="E92" s="9"/>
      <x:c r="F92" s="9"/>
      <x:c r="G92" s="9"/>
      <x:c r="H92" s="9"/>
    </x:row>
    <x:row r="93" ht="25" customHeight="1">
      <x:c r="A93" s="9"/>
      <x:c r="B93" s="9"/>
      <x:c r="C93" s="9"/>
      <x:c r="D93" s="9"/>
      <x:c r="E93" s="9"/>
      <x:c r="F93" s="9"/>
      <x:c r="G93" s="9"/>
      <x:c r="H93" s="9"/>
    </x:row>
    <x:row r="94" ht="25" customHeight="1">
      <x:c r="A94" s="9"/>
      <x:c r="B94" s="9"/>
      <x:c r="C94" s="9"/>
      <x:c r="D94" s="9"/>
      <x:c r="E94" s="9"/>
      <x:c r="F94" s="9"/>
      <x:c r="G94" s="9"/>
      <x:c r="H94" s="9"/>
    </x:row>
    <x:row r="95" ht="25" customHeight="1">
      <x:c r="A95" s="9"/>
      <x:c r="B95" s="9"/>
      <x:c r="C95" s="9"/>
      <x:c r="D95" s="9"/>
      <x:c r="E95" s="9"/>
      <x:c r="F95" s="9"/>
      <x:c r="G95" s="9"/>
      <x:c r="H95" s="9"/>
    </x:row>
    <x:row r="96" ht="25" customHeight="1">
      <x:c r="A96" s="9"/>
      <x:c r="B96" s="9"/>
      <x:c r="C96" s="9"/>
      <x:c r="D96" s="9"/>
      <x:c r="E96" s="9"/>
      <x:c r="F96" s="9"/>
      <x:c r="G96" s="9"/>
      <x:c r="H96" s="9"/>
    </x:row>
    <x:row r="97" ht="25" customHeight="1">
      <x:c r="A97" s="9"/>
      <x:c r="B97" s="9"/>
      <x:c r="C97" s="9"/>
      <x:c r="D97" s="9"/>
      <x:c r="E97" s="9"/>
      <x:c r="F97" s="9"/>
      <x:c r="G97" s="9"/>
      <x:c r="H97" s="9"/>
    </x:row>
    <x:row r="98" ht="25" customHeight="1">
      <x:c r="A98" s="9"/>
      <x:c r="B98" s="9"/>
      <x:c r="C98" s="9"/>
      <x:c r="D98" s="9"/>
      <x:c r="E98" s="9"/>
      <x:c r="F98" s="9"/>
      <x:c r="G98" s="9"/>
      <x:c r="H98" s="9"/>
    </x:row>
    <x:row r="99" ht="25" customHeight="1">
      <x:c r="A99" s="9"/>
      <x:c r="B99" s="9"/>
      <x:c r="C99" s="9"/>
      <x:c r="D99" s="9"/>
      <x:c r="E99" s="9"/>
      <x:c r="F99" s="9"/>
      <x:c r="G99" s="9"/>
      <x:c r="H99" s="9"/>
    </x:row>
    <x:row r="100" ht="25" customHeight="1">
      <x:c r="A100" s="9"/>
      <x:c r="B100" s="9"/>
      <x:c r="C100" s="9"/>
      <x:c r="D100" s="9"/>
      <x:c r="E100" s="9"/>
      <x:c r="F100" s="9"/>
      <x:c r="G100" s="9"/>
      <x:c r="H100" s="9"/>
    </x:row>
    <x:row r="101" ht="25" customHeight="1">
      <x:c r="A101" s="9"/>
      <x:c r="B101" s="9"/>
      <x:c r="C101" s="9"/>
      <x:c r="D101" s="9"/>
      <x:c r="E101" s="9"/>
      <x:c r="F101" s="9"/>
      <x:c r="G101" s="9"/>
      <x:c r="H101" s="9"/>
    </x:row>
    <x:row r="102" ht="25" customHeight="1">
      <x:c r="A102" s="9"/>
      <x:c r="B102" s="9"/>
      <x:c r="C102" s="9"/>
      <x:c r="D102" s="9"/>
      <x:c r="E102" s="9"/>
      <x:c r="F102" s="9"/>
      <x:c r="G102" s="9"/>
      <x:c r="H102" s="9"/>
    </x:row>
    <x:row r="103" ht="25" customHeight="1">
      <x:c r="A103" s="9"/>
      <x:c r="B103" s="9"/>
      <x:c r="C103" s="9"/>
      <x:c r="D103" s="9"/>
      <x:c r="E103" s="9"/>
      <x:c r="F103" s="9"/>
      <x:c r="G103" s="9"/>
      <x:c r="H103" s="9"/>
    </x:row>
    <x:row r="104" ht="25" customHeight="1">
      <x:c r="A104" s="9"/>
      <x:c r="B104" s="9"/>
      <x:c r="C104" s="9"/>
      <x:c r="D104" s="9"/>
      <x:c r="E104" s="9"/>
      <x:c r="F104" s="9"/>
      <x:c r="G104" s="9"/>
      <x:c r="H104" s="9"/>
    </x:row>
    <x:row r="105" ht="25" customHeight="1">
      <x:c r="A105" s="9"/>
      <x:c r="B105" s="9"/>
      <x:c r="C105" s="9"/>
      <x:c r="D105" s="9"/>
      <x:c r="E105" s="9"/>
      <x:c r="F105" s="9"/>
      <x:c r="G105" s="9"/>
      <x:c r="H105" s="9"/>
    </x:row>
    <x:row r="106" ht="25" customHeight="1">
      <x:c r="A106" s="9"/>
      <x:c r="B106" s="9"/>
      <x:c r="C106" s="9"/>
      <x:c r="D106" s="9"/>
      <x:c r="E106" s="9"/>
      <x:c r="F106" s="9"/>
      <x:c r="G106" s="9"/>
      <x:c r="H106" s="9"/>
    </x:row>
    <x:row r="107" ht="25" customHeight="1">
      <x:c r="A107" s="9"/>
      <x:c r="B107" s="9"/>
      <x:c r="C107" s="9"/>
      <x:c r="D107" s="9"/>
      <x:c r="E107" s="9"/>
      <x:c r="F107" s="9"/>
      <x:c r="G107" s="9"/>
      <x:c r="H107" s="9"/>
    </x:row>
    <x:row r="108" ht="25" customHeight="1">
      <x:c r="A108" s="9"/>
      <x:c r="B108" s="9"/>
      <x:c r="C108" s="9"/>
      <x:c r="D108" s="9"/>
      <x:c r="E108" s="9"/>
      <x:c r="F108" s="9"/>
      <x:c r="G108" s="9"/>
      <x:c r="H108" s="9"/>
    </x:row>
    <x:row r="109" ht="25" customHeight="1">
      <x:c r="A109" s="9"/>
      <x:c r="B109" s="9"/>
      <x:c r="C109" s="9"/>
      <x:c r="D109" s="9"/>
      <x:c r="E109" s="9"/>
      <x:c r="F109" s="9"/>
      <x:c r="G109" s="9"/>
      <x:c r="H109" s="9"/>
    </x:row>
    <x:row r="110" ht="25" customHeight="1">
      <x:c r="A110" s="9"/>
      <x:c r="B110" s="9"/>
      <x:c r="C110" s="9"/>
      <x:c r="D110" s="9"/>
      <x:c r="E110" s="9"/>
      <x:c r="F110" s="9"/>
      <x:c r="G110" s="9"/>
      <x:c r="H110" s="9"/>
    </x:row>
    <x:row r="111" ht="25" customHeight="1">
      <x:c r="A111" s="9"/>
      <x:c r="B111" s="9"/>
      <x:c r="C111" s="9"/>
      <x:c r="D111" s="9"/>
      <x:c r="E111" s="9"/>
      <x:c r="F111" s="9"/>
      <x:c r="G111" s="9"/>
      <x:c r="H111" s="9"/>
    </x:row>
    <x:row r="112" ht="25" customHeight="1">
      <x:c r="A112" s="9"/>
      <x:c r="B112" s="9"/>
      <x:c r="C112" s="9"/>
      <x:c r="D112" s="9"/>
      <x:c r="E112" s="9"/>
      <x:c r="F112" s="9"/>
      <x:c r="G112" s="9"/>
      <x:c r="H112" s="9"/>
    </x:row>
    <x:row r="113" ht="25" customHeight="1">
      <x:c r="A113" s="9"/>
      <x:c r="B113" s="9"/>
      <x:c r="C113" s="9"/>
      <x:c r="D113" s="9"/>
      <x:c r="E113" s="9"/>
      <x:c r="F113" s="9"/>
      <x:c r="G113" s="9"/>
      <x:c r="H113" s="9"/>
    </x:row>
    <x:row r="114" ht="25" customHeight="1">
      <x:c r="A114" s="9"/>
      <x:c r="B114" s="9"/>
      <x:c r="C114" s="9"/>
      <x:c r="D114" s="9"/>
      <x:c r="E114" s="9"/>
      <x:c r="F114" s="9"/>
      <x:c r="G114" s="9"/>
      <x:c r="H114" s="9"/>
    </x:row>
    <x:row r="115" ht="25" customHeight="1">
      <x:c r="A115" s="9"/>
      <x:c r="B115" s="9"/>
      <x:c r="C115" s="9"/>
      <x:c r="D115" s="9"/>
      <x:c r="E115" s="9"/>
      <x:c r="F115" s="9"/>
      <x:c r="G115" s="9"/>
      <x:c r="H115" s="9"/>
    </x:row>
    <x:row r="116" ht="25" customHeight="1">
      <x:c r="A116" s="9"/>
      <x:c r="B116" s="9"/>
      <x:c r="C116" s="9"/>
      <x:c r="D116" s="9"/>
      <x:c r="E116" s="9"/>
      <x:c r="F116" s="9"/>
      <x:c r="G116" s="9"/>
      <x:c r="H116" s="9"/>
    </x:row>
    <x:row r="117" ht="25" customHeight="1">
      <x:c r="A117" s="9"/>
      <x:c r="B117" s="9"/>
      <x:c r="C117" s="9"/>
      <x:c r="D117" s="9"/>
      <x:c r="E117" s="9"/>
      <x:c r="F117" s="9"/>
      <x:c r="G117" s="9"/>
      <x:c r="H117" s="9"/>
    </x:row>
    <x:row r="118" ht="25" customHeight="1">
      <x:c r="A118" s="9"/>
      <x:c r="B118" s="9"/>
      <x:c r="C118" s="9"/>
      <x:c r="D118" s="9"/>
      <x:c r="E118" s="9"/>
      <x:c r="F118" s="9"/>
      <x:c r="G118" s="9"/>
      <x:c r="H118" s="9"/>
    </x:row>
    <x:row r="119" ht="25" customHeight="1">
      <x:c r="A119" s="9"/>
      <x:c r="B119" s="9"/>
      <x:c r="C119" s="9"/>
      <x:c r="D119" s="9"/>
      <x:c r="E119" s="9"/>
      <x:c r="F119" s="9"/>
      <x:c r="G119" s="9"/>
      <x:c r="H119" s="9"/>
    </x:row>
    <x:row r="120" ht="25" customHeight="1">
      <x:c r="A120" s="9"/>
      <x:c r="B120" s="9"/>
      <x:c r="C120" s="9"/>
      <x:c r="D120" s="9"/>
      <x:c r="E120" s="9"/>
      <x:c r="F120" s="9"/>
      <x:c r="G120" s="9"/>
      <x:c r="H120" s="9"/>
    </x:row>
  </x:sheetData>
  <x:mergeCells>
    <x:mergeCell ref="A1:H2"/>
    <x:mergeCell ref="A3:H4"/>
    <x:mergeCell ref="A7:B9"/>
    <x:mergeCell ref="C7:H9"/>
    <x:mergeCell ref="A10:B12"/>
    <x:mergeCell ref="C10:H12"/>
    <x:mergeCell ref="A13:B15"/>
    <x:mergeCell ref="C13:H15"/>
    <x:mergeCell ref="A16:B18"/>
    <x:mergeCell ref="C16:H18"/>
    <x:mergeCell ref="A19:B21"/>
    <x:mergeCell ref="C19:H21"/>
    <x:mergeCell ref="A22:B24"/>
    <x:mergeCell ref="C22:H24"/>
    <x:mergeCell ref="A25:B27"/>
    <x:mergeCell ref="C25:H27"/>
    <x:mergeCell ref="A28:B30"/>
    <x:mergeCell ref="C28:H30"/>
    <x:mergeCell ref="A31:B33"/>
    <x:mergeCell ref="C31:H33"/>
    <x:mergeCell ref="A34:B36"/>
    <x:mergeCell ref="C34:H36"/>
    <x:mergeCell ref="A37:B39"/>
    <x:mergeCell ref="C37:H39"/>
    <x:mergeCell ref="A40:B42"/>
    <x:mergeCell ref="C40:H42"/>
    <x:mergeCell ref="A43:B45"/>
    <x:mergeCell ref="C43:H45"/>
    <x:mergeCell ref="A46:B48"/>
    <x:mergeCell ref="C46:H48"/>
    <x:mergeCell ref="A49:B51"/>
    <x:mergeCell ref="C49:H51"/>
    <x:mergeCell ref="A52:B54"/>
    <x:mergeCell ref="C52:H54"/>
  </x:mergeCells>
  <x:pageMargins left="0.7" right="0.7" top="0.75" bottom="0.75" header="0.3" footer="0.3"/>
</x:worksheet>
</file>